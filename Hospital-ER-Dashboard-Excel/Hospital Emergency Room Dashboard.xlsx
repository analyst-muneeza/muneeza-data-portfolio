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https://d.docs.live.net/5e67a7e5bc87a74e/"/>
    </mc:Choice>
  </mc:AlternateContent>
  <xr:revisionPtr revIDLastSave="255" documentId="8_{099AE627-AD4B-442A-BF2D-D9FCD792A857}" xr6:coauthVersionLast="47" xr6:coauthVersionMax="47" xr10:uidLastSave="{0F819614-B513-43AE-81DE-96E7E48242B2}"/>
  <bookViews>
    <workbookView xWindow="-110" yWindow="-110" windowWidth="19420" windowHeight="10300" xr2:uid="{5EAC696A-02FF-4F98-BA35-268AD483A72E}"/>
  </bookViews>
  <sheets>
    <sheet name="Dashboard" sheetId="2" r:id="rId1"/>
    <sheet name="Daily ER No Of Patients" sheetId="4" r:id="rId2"/>
    <sheet name="Average Wait Time Daily Trend" sheetId="6" r:id="rId3"/>
    <sheet name="Satiscaftion Score Daily Trend" sheetId="7" r:id="rId4"/>
    <sheet name="Pivot Report" sheetId="1" r:id="rId5"/>
  </sheets>
  <definedNames>
    <definedName name="Slicer_Date__Month">#N/A</definedName>
    <definedName name="Slicer_Date__Year">#N/A</definedName>
  </definedNames>
  <calcPr calcId="191029"/>
  <pivotCaches>
    <pivotCache cacheId="7" r:id="rId6"/>
    <pivotCache cacheId="8" r:id="rId7"/>
    <pivotCache cacheId="9" r:id="rId8"/>
    <pivotCache cacheId="10" r:id="rId9"/>
    <pivotCache cacheId="11" r:id="rId10"/>
    <pivotCache cacheId="12" r:id="rId11"/>
    <pivotCache cacheId="13" r:id="rId12"/>
    <pivotCache cacheId="14" r:id="rId13"/>
    <pivotCache cacheId="15" r:id="rId14"/>
    <pivotCache cacheId="16" r:id="rId15"/>
    <pivotCache cacheId="17" r:id="rId16"/>
    <pivotCache cacheId="18" r:id="rId17"/>
  </pivotCaches>
  <extLst>
    <ext xmlns:x14="http://schemas.microsoft.com/office/spreadsheetml/2009/9/main" uri="{876F7934-8845-4945-9796-88D515C7AA90}">
      <x14:pivotCaches>
        <pivotCache cacheId="19"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bc2ab3c2-1b99-42e8-a190-a48e6c4987e8" name="Hospital Emergency Room Data" connection="Query - Hospital Emergency Room Data"/>
          <x15:modelTable id="Calendar_Table_a29a146f-7328-4820-a071-04846ef82157"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3" i="1" l="1"/>
  <c r="C93" i="1"/>
  <c r="B92" i="1"/>
  <c r="C92" i="1"/>
  <c r="A93" i="1"/>
  <c r="A9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5DD8504-76A0-4648-B305-7AF7EAF806C7}" name="Query - Calendar_Table" description="Connection to the 'Calendar_Table' query in the workbook." type="100" refreshedVersion="8" minRefreshableVersion="5">
    <extLst>
      <ext xmlns:x15="http://schemas.microsoft.com/office/spreadsheetml/2010/11/main" uri="{DE250136-89BD-433C-8126-D09CA5730AF9}">
        <x15:connection id="7904c55b-c5ea-4cbb-9934-b53a4296cbcd"/>
      </ext>
    </extLst>
  </connection>
  <connection id="2" xr16:uid="{3D67A5CF-64F2-46BB-B276-F7FD27EB0D5A}"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70fc9a1b-1b88-41e5-b61d-161e95542179">
          <x15:oledbPr connection="Provider=Microsoft.Mashup.OleDb.1;Data Source=$Workbook$;Location=&quot;Hospital Emergency Room Data&quot;;Extended Properties=&quot;&quot;">
            <x15:dbTables>
              <x15:dbTable name="Hospital Emergency Room Data"/>
            </x15:dbTables>
          </x15:oledbPr>
        </x15:connection>
      </ext>
    </extLst>
  </connection>
  <connection id="3" xr16:uid="{C1320CA4-1655-4A13-9E30-AF229C788032}"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<sst xmlns="http://schemas.openxmlformats.org/spreadsheetml/2006/main" count="69" uniqueCount="50">
  <si>
    <t>Distinct Count of Patient Id</t>
  </si>
  <si>
    <t>Average of Patient Waittime</t>
  </si>
  <si>
    <t>Average of Patient Satisfaction Score</t>
  </si>
  <si>
    <t>Row Labels</t>
  </si>
  <si>
    <t>Grand Total</t>
  </si>
  <si>
    <t>Daily trends of no of patient</t>
  </si>
  <si>
    <t>Average wait time</t>
  </si>
  <si>
    <t>Average of Patient Wait time</t>
  </si>
  <si>
    <t>Satisfaction score daily trend</t>
  </si>
  <si>
    <t>Count of Patient Admission Flag</t>
  </si>
  <si>
    <t>Admitted</t>
  </si>
  <si>
    <t>Not Admitted</t>
  </si>
  <si>
    <t>Count of Patient Admission Flag2</t>
  </si>
  <si>
    <t>Admission Status</t>
  </si>
  <si>
    <t>% Status</t>
  </si>
  <si>
    <t>No. of Patient</t>
  </si>
  <si>
    <t>0-09</t>
  </si>
  <si>
    <t>10-19</t>
  </si>
  <si>
    <t>20-29</t>
  </si>
  <si>
    <t>30-39</t>
  </si>
  <si>
    <t>40-49</t>
  </si>
  <si>
    <t>50-59</t>
  </si>
  <si>
    <t>60-69</t>
  </si>
  <si>
    <t>70-79</t>
  </si>
  <si>
    <t>Count of Age Group</t>
  </si>
  <si>
    <t>Age group wise analysis</t>
  </si>
  <si>
    <t>Patient wait time</t>
  </si>
  <si>
    <t>Patient Satisfaction Score</t>
  </si>
  <si>
    <t>Number of patient</t>
  </si>
  <si>
    <t>Admitted-Not admitted count</t>
  </si>
  <si>
    <t>chart</t>
  </si>
  <si>
    <t>Count of Patient Attend Status</t>
  </si>
  <si>
    <t>Delay</t>
  </si>
  <si>
    <t>Ontime</t>
  </si>
  <si>
    <t>Attended status</t>
  </si>
  <si>
    <t>Female</t>
  </si>
  <si>
    <t>Male</t>
  </si>
  <si>
    <t>Count of Patient Gender</t>
  </si>
  <si>
    <t>Gender</t>
  </si>
  <si>
    <t>Cardiology</t>
  </si>
  <si>
    <t>Gastroenterology</t>
  </si>
  <si>
    <t>General Practice</t>
  </si>
  <si>
    <t>Neurology</t>
  </si>
  <si>
    <t>None</t>
  </si>
  <si>
    <t>Orthopedics</t>
  </si>
  <si>
    <t>Physiotherapy</t>
  </si>
  <si>
    <t>Renal</t>
  </si>
  <si>
    <t>no. of patient by department referal</t>
  </si>
  <si>
    <t>yearly report</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</si>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</sst>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800]dddd\,\ mmmm\ dd\,\ yyyy"/>
  </numFmts>
  <fonts count="5" x14ac:knownFonts="1">
    <font>
      <sz val="11"/>
      <color theme="1"/>
      <name val="Aptos Narrow"/>
      <family val="2"/>
      <scheme val="minor"/>
    </font>
    <font>
      <sz val="8"/>
      <color theme="1"/>
      <name val="Aptos Narrow"/>
      <family val="2"/>
      <scheme val="minor"/>
    </font>
    <font>
      <sz val="11"/>
      <color theme="1"/>
      <name val="Aptos Narrow"/>
      <family val="2"/>
      <scheme val="minor"/>
    </font>
    <font>
      <b/>
      <sz val="10"/>
      <color theme="1"/>
      <name val="Aptos"/>
      <family val="2"/>
    </font>
    <font>
      <sz val="10"/>
      <color theme="1"/>
      <name val="Aptos"/>
      <family val="2"/>
    </font>
  </fonts>
  <fills count="7">
    <fill>
      <patternFill patternType="none"/>
    </fill>
    <fill>
      <patternFill patternType="gray125"/>
    </fill>
    <fill>
      <patternFill patternType="solid">
        <fgColor theme="4" tint="-0.499984740745262"/>
        <bgColor indexed="64"/>
      </patternFill>
    </fill>
    <fill>
      <patternFill patternType="solid">
        <fgColor rgb="FFEAEAEA"/>
        <bgColor indexed="64"/>
      </patternFill>
    </fill>
    <fill>
      <patternFill patternType="solid">
        <fgColor theme="2"/>
        <bgColor indexed="64"/>
      </patternFill>
    </fill>
    <fill>
      <patternFill patternType="solid">
        <fgColor theme="0"/>
        <bgColor indexed="64"/>
      </patternFill>
    </fill>
    <fill>
      <patternFill patternType="solid">
        <fgColor theme="3" tint="0.499984740745262"/>
        <bgColor indexed="64"/>
      </patternFill>
    </fill>
  </fills>
  <borders count="2">
    <border>
      <left/>
      <right/>
      <top/>
      <bottom/>
      <diagonal/>
    </border>
    <border>
      <left/>
      <right/>
      <top/>
      <bottom style="thin">
        <color indexed="64"/>
      </bottom>
      <diagonal/>
    </border>
  </borders>
  <cellStyleXfs count="2">
    <xf numFmtId="0" fontId="0" fillId="0" borderId="0"/>
    <xf numFmtId="9" fontId="2" fillId="0" borderId="0" applyFont="0" applyFill="0" applyBorder="0" applyAlignment="0" applyProtection="0"/>
  </cellStyleXfs>
  <cellXfs count="28">
    <xf numFmtId="0" fontId="0" fillId="0" borderId="0" xfId="0"/>
    <xf numFmtId="0" fontId="0" fillId="2" borderId="0" xfId="0" applyFill="1"/>
    <xf numFmtId="0" fontId="0" fillId="3" borderId="0" xfId="0" applyFill="1"/>
    <xf numFmtId="0" fontId="0" fillId="4" borderId="0" xfId="0" applyFill="1"/>
    <xf numFmtId="2" fontId="0" fillId="0" borderId="0" xfId="0" applyNumberFormat="1"/>
    <xf numFmtId="0" fontId="0" fillId="0" borderId="0" xfId="0" applyAlignment="1">
      <alignment horizontal="left"/>
    </xf>
    <xf numFmtId="0" fontId="3" fillId="5" borderId="0" xfId="0" applyFont="1" applyFill="1" applyAlignment="1">
      <alignment horizontal="center"/>
    </xf>
    <xf numFmtId="0" fontId="4" fillId="5" borderId="0" xfId="0" applyFont="1" applyFill="1" applyAlignment="1">
      <alignment horizontal="center"/>
    </xf>
    <xf numFmtId="1" fontId="4" fillId="5" borderId="0" xfId="0" applyNumberFormat="1" applyFont="1" applyFill="1" applyAlignment="1">
      <alignment horizontal="center"/>
    </xf>
    <xf numFmtId="2" fontId="0" fillId="0" borderId="1" xfId="0" applyNumberFormat="1" applyBorder="1"/>
    <xf numFmtId="0" fontId="0" fillId="0" borderId="1" xfId="0" applyBorder="1"/>
    <xf numFmtId="0" fontId="0" fillId="0" borderId="1" xfId="0" applyBorder="1" applyAlignment="1">
      <alignment horizontal="left"/>
    </xf>
    <xf numFmtId="10" fontId="0" fillId="0" borderId="1" xfId="0" applyNumberFormat="1" applyBorder="1"/>
    <xf numFmtId="164" fontId="0" fillId="0" borderId="1" xfId="0" applyNumberFormat="1" applyBorder="1" applyAlignment="1">
      <alignment horizontal="left"/>
    </xf>
    <xf numFmtId="0" fontId="0" fillId="0" borderId="1" xfId="0" pivotButton="1" applyBorder="1"/>
    <xf numFmtId="0" fontId="0" fillId="5" borderId="0" xfId="0" applyFill="1"/>
    <xf numFmtId="0" fontId="3" fillId="6" borderId="0" xfId="0" applyFont="1" applyFill="1" applyAlignment="1">
      <alignment horizontal="center" vertical="center"/>
    </xf>
    <xf numFmtId="0" fontId="0" fillId="0" borderId="0" xfId="0" applyAlignment="1">
      <alignment vertical="center"/>
    </xf>
    <xf numFmtId="0" fontId="4" fillId="4" borderId="0" xfId="0" applyFont="1" applyFill="1" applyAlignment="1">
      <alignment horizontal="center" vertical="center"/>
    </xf>
    <xf numFmtId="9" fontId="4" fillId="4" borderId="0" xfId="1" applyFont="1" applyFill="1" applyBorder="1" applyAlignment="1">
      <alignment horizontal="center" vertical="center"/>
    </xf>
    <xf numFmtId="0" fontId="3" fillId="4" borderId="0" xfId="0" applyFont="1" applyFill="1" applyAlignment="1">
      <alignment horizontal="center" vertical="center"/>
    </xf>
    <xf numFmtId="0" fontId="0" fillId="5" borderId="0" xfId="0" applyFill="1" applyAlignment="1">
      <alignment horizontal="center" vertical="center"/>
    </xf>
    <xf numFmtId="0" fontId="0" fillId="0" borderId="0" xfId="0" applyAlignment="1">
      <alignment horizontal="center" vertical="center"/>
    </xf>
    <xf numFmtId="0" fontId="1" fillId="4" borderId="0" xfId="0" applyFont="1" applyFill="1"/>
    <xf numFmtId="0" fontId="0" fillId="0" borderId="0" xfId="0" pivotButton="1"/>
    <xf numFmtId="164" fontId="0" fillId="0" borderId="0" xfId="0" applyNumberFormat="1" applyAlignment="1">
      <alignment horizontal="left"/>
    </xf>
    <xf numFmtId="1" fontId="0" fillId="0" borderId="0" xfId="0" applyNumberFormat="1"/>
    <xf numFmtId="10" fontId="0" fillId="0" borderId="0" xfId="0" applyNumberFormat="1"/>
  </cellXfs>
  <cellStyles count="2">
    <cellStyle name="Normal" xfId="0" builtinId="0"/>
    <cellStyle name="Percent" xfId="1" builtinId="5"/>
  </cellStyles>
  <dxfs count="88">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2" formatCode="0.00"/>
    </dxf>
    <dxf>
      <numFmt numFmtId="164" formatCode="[$-F800]dddd\,\ mmmm\ dd\,\ yyyy"/>
    </dxf>
    <dxf>
      <numFmt numFmtId="164" formatCode="[$-F800]dddd\,\ mmmm\ dd\,\ yyyy"/>
    </dxf>
    <dxf>
      <numFmt numFmtId="14" formatCode="0.00%"/>
    </dxf>
    <dxf>
      <numFmt numFmtId="1" formatCode="0"/>
    </dxf>
    <dxf>
      <border>
        <bottom style="thin">
          <color indexed="64"/>
        </bottom>
      </border>
    </dxf>
    <dxf>
      <border>
        <bottom style="thin">
          <color indexed="64"/>
        </bottom>
      </border>
    </dxf>
    <dxf>
      <border>
        <bottom style="thin">
          <color indexed="64"/>
        </bottom>
      </border>
    </dxf>
    <dxf>
      <numFmt numFmtId="2" formatCode="0.00"/>
    </dxf>
    <dxf>
      <border>
        <bottom style="thin">
          <color indexed="64"/>
        </bottom>
      </border>
    </dxf>
    <dxf>
      <border>
        <bottom style="thin">
          <color indexed="64"/>
        </bottom>
      </border>
    </dxf>
    <dxf>
      <border>
        <bottom style="thin">
          <color indexed="64"/>
        </bottom>
      </border>
    </dxf>
    <dxf>
      <numFmt numFmtId="2" formatCode="0.00"/>
    </dxf>
    <dxf>
      <numFmt numFmtId="1" formatCode="0"/>
    </dxf>
    <dxf>
      <border>
        <bottom style="thin">
          <color indexed="64"/>
        </bottom>
      </border>
    </dxf>
    <dxf>
      <border>
        <bottom style="thin">
          <color indexed="64"/>
        </bottom>
      </border>
    </dxf>
    <dxf>
      <border>
        <bottom style="thin">
          <color indexed="64"/>
        </bottom>
      </border>
    </dxf>
    <dxf>
      <numFmt numFmtId="2" formatCode="0.00"/>
    </dxf>
    <dxf>
      <border>
        <bottom style="thin">
          <color indexed="64"/>
        </bottom>
      </border>
    </dxf>
    <dxf>
      <border>
        <bottom style="thin">
          <color indexed="64"/>
        </bottom>
      </border>
    </dxf>
    <dxf>
      <border>
        <bottom style="thin">
          <color indexed="64"/>
        </bottom>
      </border>
    </dxf>
    <dxf>
      <numFmt numFmtId="2" formatCode="0.0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4" formatCode="[$-F800]dddd\,\ mmmm\ dd\,\ yyyy"/>
    </dxf>
    <dxf>
      <numFmt numFmtId="164" formatCode="[$-F800]dddd\,\ mmmm\ dd\,\ yyyy"/>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2" formatCode="0.00"/>
    </dxf>
    <dxf>
      <numFmt numFmtId="164" formatCode="[$-F800]dddd\,\ mmmm\ dd\,\ yyyy"/>
    </dxf>
    <dxf>
      <numFmt numFmtId="164" formatCode="[$-F800]dddd\,\ mmmm\ dd\,\ yyyy"/>
    </dxf>
    <dxf>
      <border>
        <bottom style="thin">
          <color indexed="64"/>
        </bottom>
      </border>
    </dxf>
    <dxf>
      <border>
        <bottom style="thin">
          <color indexed="64"/>
        </bottom>
      </border>
    </dxf>
    <dxf>
      <border>
        <bottom style="thin">
          <color indexed="64"/>
        </bottom>
      </border>
    </dxf>
    <dxf>
      <numFmt numFmtId="2" formatCode="0.00"/>
    </dxf>
    <dxf>
      <numFmt numFmtId="1" formatCode="0"/>
    </dxf>
    <dxf>
      <border>
        <bottom style="thin">
          <color indexed="64"/>
        </bottom>
      </border>
    </dxf>
    <dxf>
      <border>
        <bottom style="thin">
          <color indexed="64"/>
        </bottom>
      </border>
    </dxf>
    <dxf>
      <border>
        <bottom style="thin">
          <color indexed="64"/>
        </bottom>
      </border>
    </dxf>
    <dxf>
      <numFmt numFmtId="2" formatCode="0.00"/>
    </dxf>
    <dxf>
      <border>
        <bottom style="thin">
          <color indexed="64"/>
        </bottom>
      </border>
    </dxf>
    <dxf>
      <border>
        <bottom style="thin">
          <color indexed="64"/>
        </bottom>
      </border>
    </dxf>
    <dxf>
      <border>
        <bottom style="thin">
          <color indexed="64"/>
        </bottom>
      </border>
    </dxf>
    <dxf>
      <numFmt numFmtId="2" formatCode="0.00"/>
    </dxf>
    <dxf>
      <border>
        <bottom style="thin">
          <color indexed="64"/>
        </bottom>
      </border>
    </dxf>
    <dxf>
      <border>
        <bottom style="thin">
          <color indexed="64"/>
        </bottom>
      </border>
    </dxf>
    <dxf>
      <border>
        <bottom style="thin">
          <color indexed="64"/>
        </bottom>
      </border>
    </dxf>
    <dxf>
      <numFmt numFmtId="2" formatCode="0.00"/>
    </dxf>
    <dxf>
      <font>
        <sz val="8"/>
      </font>
      <border diagonalUp="0" diagonalDown="0">
        <left/>
        <right/>
        <top/>
        <bottom/>
        <vertical/>
        <horizontal/>
      </border>
    </dxf>
    <dxf>
      <font>
        <b/>
        <color theme="1"/>
      </font>
      <border>
        <bottom style="thin">
          <color theme="5"/>
        </bottom>
        <vertical/>
        <horizontal/>
      </border>
    </dxf>
    <dxf>
      <font>
        <sz val="8"/>
        <color theme="1"/>
      </font>
      <fill>
        <patternFill>
          <fgColor theme="7" tint="0.59996337778862885"/>
          <bgColor theme="2"/>
        </patternFill>
      </fill>
      <border diagonalUp="0" diagonalDown="0">
        <left/>
        <right/>
        <top/>
        <bottom/>
        <vertical/>
        <horizontal/>
      </border>
    </dxf>
    <dxf>
      <font>
        <b/>
        <color theme="1"/>
      </font>
      <border>
        <bottom style="thin">
          <color theme="4"/>
        </bottom>
        <vertical/>
        <horizontal/>
      </border>
    </dxf>
    <dxf>
      <font>
        <sz val="8"/>
        <color theme="1"/>
      </font>
      <fill>
        <patternFill patternType="solid">
          <fgColor theme="4" tint="0.39991454817346722"/>
          <bgColor theme="3" tint="0.749961851863155"/>
        </patternFill>
      </fill>
      <border diagonalUp="0" diagonalDown="0">
        <left/>
        <right/>
        <top/>
        <bottom/>
        <vertical/>
        <horizontal/>
      </border>
    </dxf>
    <dxf>
      <font>
        <b/>
        <color theme="1"/>
      </font>
      <border>
        <bottom style="thin">
          <color theme="5"/>
        </bottom>
        <vertical/>
        <horizontal/>
      </border>
    </dxf>
    <dxf>
      <font>
        <sz val="8"/>
        <color theme="1"/>
      </font>
      <fill>
        <patternFill patternType="solid">
          <fgColor indexed="64"/>
          <bgColor theme="2"/>
        </patternFill>
      </fill>
      <border diagonalUp="0" diagonalDown="0">
        <left/>
        <right/>
        <top/>
        <bottom/>
        <vertical/>
        <horizontal/>
      </border>
    </dxf>
    <dxf>
      <font>
        <sz val="8"/>
      </font>
      <fill>
        <patternFill>
          <bgColor rgb="FFCCFFFF"/>
        </patternFill>
      </fill>
      <border diagonalUp="0" diagonalDown="0">
        <left/>
        <right/>
        <top/>
        <bottom/>
        <vertical/>
        <horizontal/>
      </border>
    </dxf>
    <dxf>
      <border diagonalUp="0" diagonalDown="0">
        <left/>
        <right/>
        <top/>
        <bottom/>
        <vertical/>
        <horizontal/>
      </border>
    </dxf>
    <dxf>
      <font>
        <u/>
        <sz val="8"/>
        <color rgb="FFFFFF00"/>
      </font>
      <fill>
        <patternFill>
          <fgColor rgb="FFFFFF00"/>
          <bgColor rgb="FFFFFF00"/>
        </patternFill>
      </fill>
      <border>
        <left style="thin">
          <color auto="1"/>
        </left>
        <right style="thin">
          <color auto="1"/>
        </right>
        <top style="thin">
          <color auto="1"/>
        </top>
        <bottom style="thin">
          <color auto="1"/>
        </bottom>
      </border>
    </dxf>
    <dxf>
      <font>
        <sz val="7"/>
      </font>
      <fill>
        <patternFill>
          <bgColor rgb="FFFFFF00"/>
        </patternFill>
      </fill>
    </dxf>
    <dxf>
      <fill>
        <patternFill patternType="solid">
          <bgColor rgb="FFFFFF66"/>
        </patternFill>
      </fill>
    </dxf>
    <dxf>
      <font>
        <sz val="8"/>
      </font>
      <fill>
        <patternFill patternType="solid">
          <bgColor rgb="FFFFFF99"/>
        </patternFill>
      </fill>
    </dxf>
    <dxf>
      <font>
        <strike val="0"/>
        <sz val="8"/>
      </font>
      <fill>
        <patternFill>
          <bgColor rgb="FFFFFF00"/>
        </patternFill>
      </fill>
    </dxf>
    <dxf>
      <fill>
        <gradientFill degree="90">
          <stop position="0">
            <color theme="0"/>
          </stop>
          <stop position="1">
            <color theme="4"/>
          </stop>
        </gradientFill>
      </fill>
    </dxf>
    <dxf>
      <font>
        <sz val="8"/>
      </font>
      <fill>
        <patternFill>
          <bgColor theme="2"/>
        </patternFill>
      </fill>
      <border diagonalUp="0" diagonalDown="0">
        <left/>
        <right/>
        <top/>
        <bottom/>
        <vertical/>
        <horizontal/>
      </border>
    </dxf>
    <dxf>
      <font>
        <sz val="8"/>
      </font>
      <fill>
        <patternFill>
          <bgColor rgb="FFEAEAEA"/>
        </patternFill>
      </fill>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ont>
        <b val="0"/>
        <i val="0"/>
        <sz val="8"/>
        <color theme="3" tint="0.89996032593768116"/>
        <name val="Agency FB"/>
        <family val="2"/>
        <scheme val="none"/>
      </font>
    </dxf>
    <dxf>
      <font>
        <sz val="8"/>
      </font>
    </dxf>
  </dxfs>
  <tableStyles count="17" defaultTableStyle="TableStyleMedium2" defaultPivotStyle="PivotStyleLight16">
    <tableStyle name="My Style" pivot="0" table="0" count="1" xr9:uid="{4363283A-4A28-484A-93EF-4B671D0A54D9}">
      <tableStyleElement type="wholeTable" dxfId="87"/>
    </tableStyle>
    <tableStyle name="Slicer Style 1" pivot="0" table="0" count="1" xr9:uid="{F3D96FB3-322D-4A89-B963-96048E66BFE0}">
      <tableStyleElement type="wholeTable" dxfId="86"/>
    </tableStyle>
    <tableStyle name="Slicer Style 10" pivot="0" table="0" count="1" xr9:uid="{EE5D84AD-9CB4-4B23-B040-04FA07963ED4}">
      <tableStyleElement type="wholeTable" dxfId="85"/>
    </tableStyle>
    <tableStyle name="Slicer Style 11" pivot="0" table="0" count="1" xr9:uid="{468696BF-EC95-4B8D-BD8A-DD1E613FEF4B}">
      <tableStyleElement type="wholeTable" dxfId="84"/>
    </tableStyle>
    <tableStyle name="Slicer Style 12" pivot="0" table="0" count="1" xr9:uid="{CFBDA151-E147-4A8C-8756-B55C18BE0AD7}">
      <tableStyleElement type="wholeTable" dxfId="83"/>
    </tableStyle>
    <tableStyle name="Slicer Style 2" pivot="0" table="0" count="1" xr9:uid="{5B683A02-07F2-47FC-844E-1F1F2453361C}">
      <tableStyleElement type="wholeTable" dxfId="82"/>
    </tableStyle>
    <tableStyle name="Slicer Style 3" pivot="0" table="0" count="1" xr9:uid="{468342C6-6BA9-4D23-8A3C-930BDF97BFC4}">
      <tableStyleElement type="wholeTable" dxfId="81"/>
    </tableStyle>
    <tableStyle name="Slicer Style 4" pivot="0" table="0" count="1" xr9:uid="{F98FF8EC-CB20-4F31-88A7-7A9166884EF2}">
      <tableStyleElement type="wholeTable" dxfId="80"/>
    </tableStyle>
    <tableStyle name="Slicer Style 5" pivot="0" table="0" count="1" xr9:uid="{832F3907-3530-42F6-BFB6-253CDD494298}">
      <tableStyleElement type="wholeTable" dxfId="79"/>
    </tableStyle>
    <tableStyle name="Slicer Style 6" pivot="0" table="0" count="1" xr9:uid="{89695559-A993-476B-A697-11E5B464FF06}">
      <tableStyleElement type="wholeTable" dxfId="78"/>
    </tableStyle>
    <tableStyle name="Slicer Style 7" pivot="0" table="0" count="1" xr9:uid="{BC3DB2FA-A540-45DE-BA56-2DC8B71B8F51}">
      <tableStyleElement type="wholeTable" dxfId="77"/>
    </tableStyle>
    <tableStyle name="Slicer Style 8" pivot="0" table="0" count="1" xr9:uid="{0E11072B-5537-4D27-AD4C-D92B3498C45A}">
      <tableStyleElement type="wholeTable" dxfId="76"/>
    </tableStyle>
    <tableStyle name="Slicer Style 9" pivot="0" table="0" count="1" xr9:uid="{88138411-E561-447A-A84C-0812EBB5DADC}">
      <tableStyleElement type="wholeTable" dxfId="75"/>
    </tableStyle>
    <tableStyle name="SlicerStyleDark2 2" pivot="0" table="0" count="10" xr9:uid="{2C2ED4D6-B265-4E13-A9E3-A863631661ED}">
      <tableStyleElement type="wholeTable" dxfId="74"/>
      <tableStyleElement type="headerRow" dxfId="73"/>
    </tableStyle>
    <tableStyle name="SlicerStyleLight1 2" pivot="0" table="0" count="10" xr9:uid="{4E8FF880-BDBF-46C9-9530-16AA6C312718}">
      <tableStyleElement type="wholeTable" dxfId="72"/>
      <tableStyleElement type="headerRow" dxfId="71"/>
    </tableStyle>
    <tableStyle name="SlicerStyleLight2 2" pivot="0" table="0" count="10" xr9:uid="{CEB81061-4268-44F7-A16C-4B9198C51F34}">
      <tableStyleElement type="wholeTable" dxfId="70"/>
      <tableStyleElement type="headerRow" dxfId="69"/>
    </tableStyle>
    <tableStyle name="style" pivot="0" table="0" count="1" xr9:uid="{464CEDDB-BB67-4769-B7AE-9C72EB62B9C4}">
      <tableStyleElement type="wholeTable" dxfId="68"/>
    </tableStyle>
  </tableStyles>
  <colors>
    <mruColors>
      <color rgb="FFCCFFFF"/>
      <color rgb="FFEAEAEA"/>
      <color rgb="FFFFFF99"/>
      <color rgb="FFFFFF00"/>
      <color rgb="FFFFFF66"/>
      <color rgb="FFF6F96B"/>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2">
        <x14:slicerStyle name="My Style"/>
        <x14:slicerStyle name="Slicer Style 1"/>
        <x14:slicerStyle name="Slicer Style 10"/>
        <x14:slicerStyle name="Slicer Style 11"/>
        <x14:slicerStyle name="Slicer Style 12"/>
        <x14:slicerStyle name="Slicer Style 2"/>
        <x14:slicerStyle name="Slicer Style 3"/>
        <x14:slicerStyle name="Slicer Style 4"/>
        <x14:slicerStyle name="Slicer Style 5"/>
        <x14:slicerStyle name="Slicer Style 6"/>
        <x14:slicerStyle name="Slicer Style 7"/>
        <x14:slicerStyle name="Slicer Style 8"/>
        <x14:slicerStyle name="Slicer Style 9"/>
        <x14:slicerStyle name="SlicerStyleDark2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8" Type="http://schemas.openxmlformats.org/officeDocument/2006/relationships/pivotCacheDefinition" Target="pivotCache/pivotCacheDefinition3.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Report!PivotTable4</c:name>
    <c:fmtId val="32"/>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82166045033844"/>
          <c:y val="0"/>
          <c:w val="0.75975245199613206"/>
          <c:h val="0.90163934426229508"/>
        </c:manualLayout>
      </c:layout>
      <c:areaChart>
        <c:grouping val="standard"/>
        <c:varyColors val="0"/>
        <c:ser>
          <c:idx val="0"/>
          <c:order val="0"/>
          <c:tx>
            <c:strRef>
              <c:f>'Pivot Report'!$D$4</c:f>
              <c:strCache>
                <c:ptCount val="1"/>
                <c:pt idx="0">
                  <c:v>Total</c:v>
                </c:pt>
              </c:strCache>
            </c:strRef>
          </c:tx>
          <c:spPr>
            <a:solidFill>
              <a:schemeClr val="accent1"/>
            </a:solidFill>
            <a:ln w="25400">
              <a:noFill/>
            </a:ln>
            <a:effectLst/>
          </c:spPr>
          <c:cat>
            <c:strRef>
              <c:f>'Pivot Report'!$C$5:$C$36</c:f>
              <c:strCache>
                <c:ptCount val="31"/>
                <c:pt idx="0">
                  <c:v>01-01-2024</c:v>
                </c:pt>
                <c:pt idx="1">
                  <c:v>02-01-2024</c:v>
                </c:pt>
                <c:pt idx="2">
                  <c:v>03-01-2024</c:v>
                </c:pt>
                <c:pt idx="3">
                  <c:v>04-01-2024</c:v>
                </c:pt>
                <c:pt idx="4">
                  <c:v>05-01-2024</c:v>
                </c:pt>
                <c:pt idx="5">
                  <c:v>06-01-2024</c:v>
                </c:pt>
                <c:pt idx="6">
                  <c:v>07-01-2024</c:v>
                </c:pt>
                <c:pt idx="7">
                  <c:v>08-01-2024</c:v>
                </c:pt>
                <c:pt idx="8">
                  <c:v>09-01-2024</c:v>
                </c:pt>
                <c:pt idx="9">
                  <c:v>10-01-2024</c:v>
                </c:pt>
                <c:pt idx="10">
                  <c:v>11-01-2024</c:v>
                </c:pt>
                <c:pt idx="11">
                  <c:v>12-01-2024</c:v>
                </c:pt>
                <c:pt idx="12">
                  <c:v>13-01-2024</c:v>
                </c:pt>
                <c:pt idx="13">
                  <c:v>14-01-2024</c:v>
                </c:pt>
                <c:pt idx="14">
                  <c:v>15-01-2024</c:v>
                </c:pt>
                <c:pt idx="15">
                  <c:v>16-01-2024</c:v>
                </c:pt>
                <c:pt idx="16">
                  <c:v>17-01-2024</c:v>
                </c:pt>
                <c:pt idx="17">
                  <c:v>18-01-2024</c:v>
                </c:pt>
                <c:pt idx="18">
                  <c:v>19-01-2024</c:v>
                </c:pt>
                <c:pt idx="19">
                  <c:v>20-01-2024</c:v>
                </c:pt>
                <c:pt idx="20">
                  <c:v>21-01-2024</c:v>
                </c:pt>
                <c:pt idx="21">
                  <c:v>22-01-2024</c:v>
                </c:pt>
                <c:pt idx="22">
                  <c:v>23-01-2024</c:v>
                </c:pt>
                <c:pt idx="23">
                  <c:v>24-01-2024</c:v>
                </c:pt>
                <c:pt idx="24">
                  <c:v>25-01-2024</c:v>
                </c:pt>
                <c:pt idx="25">
                  <c:v>26-01-2024</c:v>
                </c:pt>
                <c:pt idx="26">
                  <c:v>27-01-2024</c:v>
                </c:pt>
                <c:pt idx="27">
                  <c:v>28-01-2024</c:v>
                </c:pt>
                <c:pt idx="28">
                  <c:v>29-01-2024</c:v>
                </c:pt>
                <c:pt idx="29">
                  <c:v>30-01-2024</c:v>
                </c:pt>
                <c:pt idx="30">
                  <c:v>31-01-2024</c:v>
                </c:pt>
              </c:strCache>
            </c:strRef>
          </c:cat>
          <c:val>
            <c:numRef>
              <c:f>'Pivot Report'!$D$5:$D$36</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7-C6F2-47D4-93F2-F783A46755D9}"/>
            </c:ext>
          </c:extLst>
        </c:ser>
        <c:dLbls>
          <c:showLegendKey val="0"/>
          <c:showVal val="0"/>
          <c:showCatName val="0"/>
          <c:showSerName val="0"/>
          <c:showPercent val="0"/>
          <c:showBubbleSize val="0"/>
        </c:dLbls>
        <c:axId val="1919555071"/>
        <c:axId val="1919551231"/>
      </c:areaChart>
      <c:catAx>
        <c:axId val="1919555071"/>
        <c:scaling>
          <c:orientation val="minMax"/>
        </c:scaling>
        <c:delete val="1"/>
        <c:axPos val="b"/>
        <c:numFmt formatCode="General" sourceLinked="1"/>
        <c:majorTickMark val="out"/>
        <c:minorTickMark val="none"/>
        <c:tickLblPos val="nextTo"/>
        <c:crossAx val="1919551231"/>
        <c:crosses val="autoZero"/>
        <c:auto val="1"/>
        <c:lblAlgn val="ctr"/>
        <c:lblOffset val="100"/>
        <c:noMultiLvlLbl val="0"/>
      </c:catAx>
      <c:valAx>
        <c:axId val="1919551231"/>
        <c:scaling>
          <c:orientation val="minMax"/>
        </c:scaling>
        <c:delete val="1"/>
        <c:axPos val="l"/>
        <c:numFmt formatCode="General" sourceLinked="1"/>
        <c:majorTickMark val="none"/>
        <c:minorTickMark val="none"/>
        <c:tickLblPos val="nextTo"/>
        <c:crossAx val="191955507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Report!PivotTable5</c:name>
    <c:fmtId val="4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553539678507924E-3"/>
          <c:y val="1.8986472844740539E-2"/>
          <c:w val="0.99444444444444446"/>
          <c:h val="0.72460327074500308"/>
        </c:manualLayout>
      </c:layout>
      <c:areaChart>
        <c:grouping val="standard"/>
        <c:varyColors val="0"/>
        <c:ser>
          <c:idx val="0"/>
          <c:order val="0"/>
          <c:tx>
            <c:strRef>
              <c:f>'Pivot Report'!$G$4</c:f>
              <c:strCache>
                <c:ptCount val="1"/>
                <c:pt idx="0">
                  <c:v>Total</c:v>
                </c:pt>
              </c:strCache>
            </c:strRef>
          </c:tx>
          <c:spPr>
            <a:solidFill>
              <a:schemeClr val="accent1"/>
            </a:solidFill>
            <a:ln w="25400">
              <a:noFill/>
            </a:ln>
            <a:effectLst/>
          </c:spPr>
          <c:cat>
            <c:strRef>
              <c:f>'Pivot Report'!$F$5:$F$36</c:f>
              <c:strCache>
                <c:ptCount val="31"/>
                <c:pt idx="0">
                  <c:v>01-01-2024</c:v>
                </c:pt>
                <c:pt idx="1">
                  <c:v>02-01-2024</c:v>
                </c:pt>
                <c:pt idx="2">
                  <c:v>03-01-2024</c:v>
                </c:pt>
                <c:pt idx="3">
                  <c:v>04-01-2024</c:v>
                </c:pt>
                <c:pt idx="4">
                  <c:v>05-01-2024</c:v>
                </c:pt>
                <c:pt idx="5">
                  <c:v>06-01-2024</c:v>
                </c:pt>
                <c:pt idx="6">
                  <c:v>07-01-2024</c:v>
                </c:pt>
                <c:pt idx="7">
                  <c:v>08-01-2024</c:v>
                </c:pt>
                <c:pt idx="8">
                  <c:v>09-01-2024</c:v>
                </c:pt>
                <c:pt idx="9">
                  <c:v>10-01-2024</c:v>
                </c:pt>
                <c:pt idx="10">
                  <c:v>11-01-2024</c:v>
                </c:pt>
                <c:pt idx="11">
                  <c:v>12-01-2024</c:v>
                </c:pt>
                <c:pt idx="12">
                  <c:v>13-01-2024</c:v>
                </c:pt>
                <c:pt idx="13">
                  <c:v>14-01-2024</c:v>
                </c:pt>
                <c:pt idx="14">
                  <c:v>15-01-2024</c:v>
                </c:pt>
                <c:pt idx="15">
                  <c:v>16-01-2024</c:v>
                </c:pt>
                <c:pt idx="16">
                  <c:v>17-01-2024</c:v>
                </c:pt>
                <c:pt idx="17">
                  <c:v>18-01-2024</c:v>
                </c:pt>
                <c:pt idx="18">
                  <c:v>19-01-2024</c:v>
                </c:pt>
                <c:pt idx="19">
                  <c:v>20-01-2024</c:v>
                </c:pt>
                <c:pt idx="20">
                  <c:v>21-01-2024</c:v>
                </c:pt>
                <c:pt idx="21">
                  <c:v>22-01-2024</c:v>
                </c:pt>
                <c:pt idx="22">
                  <c:v>23-01-2024</c:v>
                </c:pt>
                <c:pt idx="23">
                  <c:v>24-01-2024</c:v>
                </c:pt>
                <c:pt idx="24">
                  <c:v>25-01-2024</c:v>
                </c:pt>
                <c:pt idx="25">
                  <c:v>26-01-2024</c:v>
                </c:pt>
                <c:pt idx="26">
                  <c:v>27-01-2024</c:v>
                </c:pt>
                <c:pt idx="27">
                  <c:v>28-01-2024</c:v>
                </c:pt>
                <c:pt idx="28">
                  <c:v>29-01-2024</c:v>
                </c:pt>
                <c:pt idx="29">
                  <c:v>30-01-2024</c:v>
                </c:pt>
                <c:pt idx="30">
                  <c:v>31-01-2024</c:v>
                </c:pt>
              </c:strCache>
            </c:strRef>
          </c:cat>
          <c:val>
            <c:numRef>
              <c:f>'Pivot Report'!$G$5:$G$36</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7-C4DD-419A-A6AB-85317794DC26}"/>
            </c:ext>
          </c:extLst>
        </c:ser>
        <c:dLbls>
          <c:showLegendKey val="0"/>
          <c:showVal val="0"/>
          <c:showCatName val="0"/>
          <c:showSerName val="0"/>
          <c:showPercent val="0"/>
          <c:showBubbleSize val="0"/>
        </c:dLbls>
        <c:axId val="2114663360"/>
        <c:axId val="2114680160"/>
      </c:areaChart>
      <c:catAx>
        <c:axId val="2114663360"/>
        <c:scaling>
          <c:orientation val="minMax"/>
        </c:scaling>
        <c:delete val="1"/>
        <c:axPos val="b"/>
        <c:numFmt formatCode="General" sourceLinked="1"/>
        <c:majorTickMark val="out"/>
        <c:minorTickMark val="none"/>
        <c:tickLblPos val="nextTo"/>
        <c:crossAx val="2114680160"/>
        <c:crosses val="autoZero"/>
        <c:auto val="1"/>
        <c:lblAlgn val="ctr"/>
        <c:lblOffset val="100"/>
        <c:noMultiLvlLbl val="0"/>
      </c:catAx>
      <c:valAx>
        <c:axId val="2114680160"/>
        <c:scaling>
          <c:orientation val="minMax"/>
        </c:scaling>
        <c:delete val="1"/>
        <c:axPos val="l"/>
        <c:numFmt formatCode="0.00" sourceLinked="1"/>
        <c:majorTickMark val="none"/>
        <c:minorTickMark val="none"/>
        <c:tickLblPos val="nextTo"/>
        <c:crossAx val="2114663360"/>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Report!PivotTable6</c:name>
    <c:fmtId val="6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0.99724590877753183"/>
          <c:h val="0.93150088381809415"/>
        </c:manualLayout>
      </c:layout>
      <c:areaChart>
        <c:grouping val="standard"/>
        <c:varyColors val="0"/>
        <c:ser>
          <c:idx val="0"/>
          <c:order val="0"/>
          <c:tx>
            <c:strRef>
              <c:f>'Pivot Report'!$J$4</c:f>
              <c:strCache>
                <c:ptCount val="1"/>
                <c:pt idx="0">
                  <c:v>Total</c:v>
                </c:pt>
              </c:strCache>
            </c:strRef>
          </c:tx>
          <c:spPr>
            <a:solidFill>
              <a:schemeClr val="accent1"/>
            </a:solidFill>
            <a:ln w="25400">
              <a:noFill/>
            </a:ln>
            <a:effectLst/>
          </c:spPr>
          <c:cat>
            <c:strRef>
              <c:f>'Pivot Report'!$I$5:$I$36</c:f>
              <c:strCache>
                <c:ptCount val="31"/>
                <c:pt idx="0">
                  <c:v>01-01-2024</c:v>
                </c:pt>
                <c:pt idx="1">
                  <c:v>02-01-2024</c:v>
                </c:pt>
                <c:pt idx="2">
                  <c:v>03-01-2024</c:v>
                </c:pt>
                <c:pt idx="3">
                  <c:v>04-01-2024</c:v>
                </c:pt>
                <c:pt idx="4">
                  <c:v>05-01-2024</c:v>
                </c:pt>
                <c:pt idx="5">
                  <c:v>06-01-2024</c:v>
                </c:pt>
                <c:pt idx="6">
                  <c:v>07-01-2024</c:v>
                </c:pt>
                <c:pt idx="7">
                  <c:v>08-01-2024</c:v>
                </c:pt>
                <c:pt idx="8">
                  <c:v>09-01-2024</c:v>
                </c:pt>
                <c:pt idx="9">
                  <c:v>10-01-2024</c:v>
                </c:pt>
                <c:pt idx="10">
                  <c:v>11-01-2024</c:v>
                </c:pt>
                <c:pt idx="11">
                  <c:v>12-01-2024</c:v>
                </c:pt>
                <c:pt idx="12">
                  <c:v>13-01-2024</c:v>
                </c:pt>
                <c:pt idx="13">
                  <c:v>14-01-2024</c:v>
                </c:pt>
                <c:pt idx="14">
                  <c:v>15-01-2024</c:v>
                </c:pt>
                <c:pt idx="15">
                  <c:v>16-01-2024</c:v>
                </c:pt>
                <c:pt idx="16">
                  <c:v>17-01-2024</c:v>
                </c:pt>
                <c:pt idx="17">
                  <c:v>18-01-2024</c:v>
                </c:pt>
                <c:pt idx="18">
                  <c:v>19-01-2024</c:v>
                </c:pt>
                <c:pt idx="19">
                  <c:v>20-01-2024</c:v>
                </c:pt>
                <c:pt idx="20">
                  <c:v>21-01-2024</c:v>
                </c:pt>
                <c:pt idx="21">
                  <c:v>22-01-2024</c:v>
                </c:pt>
                <c:pt idx="22">
                  <c:v>23-01-2024</c:v>
                </c:pt>
                <c:pt idx="23">
                  <c:v>24-01-2024</c:v>
                </c:pt>
                <c:pt idx="24">
                  <c:v>25-01-2024</c:v>
                </c:pt>
                <c:pt idx="25">
                  <c:v>26-01-2024</c:v>
                </c:pt>
                <c:pt idx="26">
                  <c:v>27-01-2024</c:v>
                </c:pt>
                <c:pt idx="27">
                  <c:v>28-01-2024</c:v>
                </c:pt>
                <c:pt idx="28">
                  <c:v>29-01-2024</c:v>
                </c:pt>
                <c:pt idx="29">
                  <c:v>30-01-2024</c:v>
                </c:pt>
                <c:pt idx="30">
                  <c:v>31-01-2024</c:v>
                </c:pt>
              </c:strCache>
            </c:strRef>
          </c:cat>
          <c:val>
            <c:numRef>
              <c:f>'Pivot Report'!$J$5:$J$36</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7-50C6-4B9B-A3BC-7D0DE6367316}"/>
            </c:ext>
          </c:extLst>
        </c:ser>
        <c:dLbls>
          <c:showLegendKey val="0"/>
          <c:showVal val="0"/>
          <c:showCatName val="0"/>
          <c:showSerName val="0"/>
          <c:showPercent val="0"/>
          <c:showBubbleSize val="0"/>
        </c:dLbls>
        <c:axId val="2114762240"/>
        <c:axId val="2114762720"/>
      </c:areaChart>
      <c:catAx>
        <c:axId val="2114762240"/>
        <c:scaling>
          <c:orientation val="minMax"/>
        </c:scaling>
        <c:delete val="1"/>
        <c:axPos val="b"/>
        <c:numFmt formatCode="General" sourceLinked="1"/>
        <c:majorTickMark val="out"/>
        <c:minorTickMark val="none"/>
        <c:tickLblPos val="nextTo"/>
        <c:crossAx val="2114762720"/>
        <c:crosses val="autoZero"/>
        <c:auto val="1"/>
        <c:lblAlgn val="ctr"/>
        <c:lblOffset val="100"/>
        <c:noMultiLvlLbl val="0"/>
      </c:catAx>
      <c:valAx>
        <c:axId val="2114762720"/>
        <c:scaling>
          <c:orientation val="minMax"/>
        </c:scaling>
        <c:delete val="1"/>
        <c:axPos val="l"/>
        <c:numFmt formatCode="0.00" sourceLinked="1"/>
        <c:majorTickMark val="none"/>
        <c:minorTickMark val="none"/>
        <c:tickLblPos val="nextTo"/>
        <c:crossAx val="211476224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Report!PivotTable9</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745762711864406E-3"/>
          <c:y val="0.285060159559263"/>
          <c:w val="0.96327683615819204"/>
          <c:h val="0.28378264598113356"/>
        </c:manualLayout>
      </c:layout>
      <c:barChart>
        <c:barDir val="col"/>
        <c:grouping val="clustered"/>
        <c:varyColors val="0"/>
        <c:ser>
          <c:idx val="0"/>
          <c:order val="0"/>
          <c:tx>
            <c:strRef>
              <c:f>'Pivot Report'!$B$97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Report'!$A$98:$A$106</c:f>
              <c:strCache>
                <c:ptCount val="8"/>
                <c:pt idx="0">
                  <c:v>0-09</c:v>
                </c:pt>
                <c:pt idx="1">
                  <c:v>10-19</c:v>
                </c:pt>
                <c:pt idx="2">
                  <c:v>20-29</c:v>
                </c:pt>
                <c:pt idx="3">
                  <c:v>30-39</c:v>
                </c:pt>
                <c:pt idx="4">
                  <c:v>40-49</c:v>
                </c:pt>
                <c:pt idx="5">
                  <c:v>50-59</c:v>
                </c:pt>
                <c:pt idx="6">
                  <c:v>60-69</c:v>
                </c:pt>
                <c:pt idx="7">
                  <c:v>70-79</c:v>
                </c:pt>
              </c:strCache>
            </c:strRef>
          </c:cat>
          <c:val>
            <c:numRef>
              <c:f>'Pivot Report'!$B$98:$B$106</c:f>
              <c:numCache>
                <c:formatCode>0</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7-55B0-4207-BA05-C5455197E1FC}"/>
            </c:ext>
          </c:extLst>
        </c:ser>
        <c:dLbls>
          <c:showLegendKey val="0"/>
          <c:showVal val="0"/>
          <c:showCatName val="0"/>
          <c:showSerName val="0"/>
          <c:showPercent val="0"/>
          <c:showBubbleSize val="0"/>
        </c:dLbls>
        <c:gapWidth val="219"/>
        <c:overlap val="-27"/>
        <c:axId val="2105212767"/>
        <c:axId val="2105214207"/>
      </c:barChart>
      <c:catAx>
        <c:axId val="2105212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5214207"/>
        <c:crosses val="autoZero"/>
        <c:auto val="1"/>
        <c:lblAlgn val="ctr"/>
        <c:lblOffset val="100"/>
        <c:noMultiLvlLbl val="0"/>
      </c:catAx>
      <c:valAx>
        <c:axId val="2105214207"/>
        <c:scaling>
          <c:orientation val="minMax"/>
        </c:scaling>
        <c:delete val="1"/>
        <c:axPos val="l"/>
        <c:numFmt formatCode="0" sourceLinked="1"/>
        <c:majorTickMark val="none"/>
        <c:minorTickMark val="none"/>
        <c:tickLblPos val="nextTo"/>
        <c:crossAx val="2105212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[Hospital Emergency Room Dashboard.xlsx]Pivot Report!PivotTable10</c:name>
    <c:fmtId val="11"/>
  </c:pivotSource>
  <c:chart>
    <c:autoTitleDeleted val="1"/>
    <c:pivotFmts>
      <c:pivotFmt>
        <c:idx val="0"/>
        <c:spPr>
          <a:solidFill>
            <a:schemeClr val="accent4"/>
          </a:solidFill>
          <a:ln w="19050">
            <a:solidFill>
              <a:schemeClr val="lt1"/>
            </a:solidFill>
          </a:ln>
          <a:effectLst/>
        </c:spPr>
        <c:marker>
          <c:symbol val="circle"/>
          <c:size val="5"/>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pivotFmt>
      <c:pivotFmt>
        <c:idx val="3"/>
        <c:spPr>
          <a:solidFill>
            <a:schemeClr val="accent4"/>
          </a:solidFill>
          <a:ln w="19050">
            <a:solidFill>
              <a:schemeClr val="lt1"/>
            </a:solidFill>
          </a:ln>
          <a:effectLst/>
        </c:spPr>
      </c:pivotFmt>
      <c:pivotFmt>
        <c:idx val="4"/>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4">
              <a:tint val="77000"/>
            </a:schemeClr>
          </a:solidFill>
          <a:ln w="19050">
            <a:solidFill>
              <a:schemeClr val="lt1"/>
            </a:solidFill>
          </a:ln>
          <a:effectLst/>
        </c:spPr>
      </c:pivotFmt>
      <c:pivotFmt>
        <c:idx val="6"/>
        <c:spPr>
          <a:solidFill>
            <a:schemeClr val="accent4">
              <a:shade val="76000"/>
            </a:schemeClr>
          </a:solidFill>
          <a:ln w="19050">
            <a:solidFill>
              <a:schemeClr val="lt1"/>
            </a:solidFill>
          </a:ln>
          <a:effectLst/>
        </c:spPr>
      </c:pivotFmt>
    </c:pivotFmts>
    <c:plotArea>
      <c:layout>
        <c:manualLayout>
          <c:layoutTarget val="inner"/>
          <c:xMode val="edge"/>
          <c:yMode val="edge"/>
          <c:x val="0.19400306505310996"/>
          <c:y val="0.14974582840357389"/>
          <c:w val="0.5506679701950008"/>
          <c:h val="0.85025417159642624"/>
        </c:manualLayout>
      </c:layout>
      <c:pieChart>
        <c:varyColors val="1"/>
        <c:ser>
          <c:idx val="0"/>
          <c:order val="0"/>
          <c:tx>
            <c:strRef>
              <c:f>'Pivot Report'!$B$109</c:f>
              <c:strCache>
                <c:ptCount val="1"/>
                <c:pt idx="0">
                  <c:v>Total</c:v>
                </c:pt>
              </c:strCache>
            </c:strRef>
          </c:tx>
          <c:dPt>
            <c:idx val="0"/>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1-549F-42A1-87F6-7D1570A63811}"/>
              </c:ext>
            </c:extLst>
          </c:dPt>
          <c:dPt>
            <c:idx val="1"/>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3-549F-42A1-87F6-7D1570A63811}"/>
              </c:ext>
            </c:extLst>
          </c:dPt>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Report'!$A$110:$A$112</c:f>
              <c:strCache>
                <c:ptCount val="2"/>
                <c:pt idx="0">
                  <c:v>Delay</c:v>
                </c:pt>
                <c:pt idx="1">
                  <c:v>Ontime</c:v>
                </c:pt>
              </c:strCache>
            </c:strRef>
          </c:cat>
          <c:val>
            <c:numRef>
              <c:f>'Pivot Report'!$B$110:$B$112</c:f>
              <c:numCache>
                <c:formatCode>0.00</c:formatCode>
                <c:ptCount val="2"/>
                <c:pt idx="0">
                  <c:v>316</c:v>
                </c:pt>
                <c:pt idx="1">
                  <c:v>197</c:v>
                </c:pt>
              </c:numCache>
            </c:numRef>
          </c:val>
          <c:extLst>
            <c:ext xmlns:c16="http://schemas.microsoft.com/office/drawing/2014/chart" uri="{C3380CC4-5D6E-409C-BE32-E72D297353CC}">
              <c16:uniqueId val="{0000000B-253F-4EB6-9BCD-4369A9A48CC5}"/>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2.8240635338662001E-2"/>
          <c:y val="1.5789595702889229E-2"/>
          <c:w val="0.26414313579502452"/>
          <c:h val="0.2918952711156163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[Hospital Emergency Room Dashboard.xlsx]Pivot Report!PivotTable11</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4"/>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4">
              <a:tint val="77000"/>
            </a:schemeClr>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4">
              <a:shade val="76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3433524699902422"/>
          <c:y val="0.17745505868370226"/>
          <c:w val="0.49100728403185911"/>
          <c:h val="0.80367701678799586"/>
        </c:manualLayout>
      </c:layout>
      <c:doughnutChart>
        <c:varyColors val="1"/>
        <c:ser>
          <c:idx val="0"/>
          <c:order val="0"/>
          <c:tx>
            <c:strRef>
              <c:f>'Pivot Report'!$B$115</c:f>
              <c:strCache>
                <c:ptCount val="1"/>
                <c:pt idx="0">
                  <c:v>Total</c:v>
                </c:pt>
              </c:strCache>
            </c:strRef>
          </c:tx>
          <c:dPt>
            <c:idx val="0"/>
            <c:bubble3D val="0"/>
            <c:spPr>
              <a:solidFill>
                <a:schemeClr val="accent4">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663B-41BF-BAB0-20F4CDBA39AE}"/>
              </c:ext>
            </c:extLst>
          </c:dPt>
          <c:dPt>
            <c:idx val="1"/>
            <c:bubble3D val="0"/>
            <c:spPr>
              <a:solidFill>
                <a:schemeClr val="accent4">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663B-41BF-BAB0-20F4CDBA39AE}"/>
              </c:ext>
            </c:extLst>
          </c:dPt>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Report'!$A$116:$A$118</c:f>
              <c:strCache>
                <c:ptCount val="2"/>
                <c:pt idx="0">
                  <c:v>Female</c:v>
                </c:pt>
                <c:pt idx="1">
                  <c:v>Male</c:v>
                </c:pt>
              </c:strCache>
            </c:strRef>
          </c:cat>
          <c:val>
            <c:numRef>
              <c:f>'Pivot Report'!$B$116:$B$118</c:f>
              <c:numCache>
                <c:formatCode>0.00</c:formatCode>
                <c:ptCount val="2"/>
                <c:pt idx="0">
                  <c:v>241</c:v>
                </c:pt>
                <c:pt idx="1">
                  <c:v>272</c:v>
                </c:pt>
              </c:numCache>
            </c:numRef>
          </c:val>
          <c:extLst>
            <c:ext xmlns:c16="http://schemas.microsoft.com/office/drawing/2014/chart" uri="{C3380CC4-5D6E-409C-BE32-E72D297353CC}">
              <c16:uniqueId val="{0000000B-7587-433F-B3DD-169A61D8DF4A}"/>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9.8277247044407615E-2"/>
          <c:y val="5.6603773584905662E-2"/>
          <c:w val="0.24531429699143228"/>
          <c:h val="0.3214460075729112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Report!PivotTable12</c:name>
    <c:fmtId val="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265039082180536"/>
          <c:y val="0.22918299686223434"/>
          <c:w val="0.6988865628503127"/>
          <c:h val="0.76836066544313542"/>
        </c:manualLayout>
      </c:layout>
      <c:barChart>
        <c:barDir val="bar"/>
        <c:grouping val="clustered"/>
        <c:varyColors val="0"/>
        <c:ser>
          <c:idx val="0"/>
          <c:order val="0"/>
          <c:tx>
            <c:strRef>
              <c:f>'Pivot Report'!$B$121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Report'!$A$122:$A$130</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'Pivot Report'!$B$122:$B$130</c:f>
              <c:numCache>
                <c:formatCode>0</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7-7753-483C-8C83-3CB82A56BE16}"/>
            </c:ext>
          </c:extLst>
        </c:ser>
        <c:dLbls>
          <c:showLegendKey val="0"/>
          <c:showVal val="0"/>
          <c:showCatName val="0"/>
          <c:showSerName val="0"/>
          <c:showPercent val="0"/>
          <c:showBubbleSize val="0"/>
        </c:dLbls>
        <c:gapWidth val="30"/>
        <c:axId val="1054863007"/>
        <c:axId val="1054865887"/>
      </c:barChart>
      <c:catAx>
        <c:axId val="10548630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4865887"/>
        <c:crosses val="autoZero"/>
        <c:auto val="1"/>
        <c:lblAlgn val="ctr"/>
        <c:lblOffset val="100"/>
        <c:noMultiLvlLbl val="0"/>
      </c:catAx>
      <c:valAx>
        <c:axId val="1054865887"/>
        <c:scaling>
          <c:orientation val="minMax"/>
        </c:scaling>
        <c:delete val="1"/>
        <c:axPos val="b"/>
        <c:numFmt formatCode="0" sourceLinked="1"/>
        <c:majorTickMark val="none"/>
        <c:minorTickMark val="none"/>
        <c:tickLblPos val="nextTo"/>
        <c:crossAx val="1054863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Report!PivotTable4</c:name>
    <c:fmtId val="3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Aptos"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2.0060180541624966E-3"/>
              <c:y val="-4.1189931350114416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Aptos"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pivotFmt>
    </c:pivotFmts>
    <c:plotArea>
      <c:layout>
        <c:manualLayout>
          <c:layoutTarget val="inner"/>
          <c:xMode val="edge"/>
          <c:yMode val="edge"/>
          <c:x val="5.5549483094954152E-2"/>
          <c:y val="0"/>
          <c:w val="0.90279041849959329"/>
          <c:h val="0.72889358628829115"/>
        </c:manualLayout>
      </c:layout>
      <c:areaChart>
        <c:grouping val="standard"/>
        <c:varyColors val="0"/>
        <c:ser>
          <c:idx val="0"/>
          <c:order val="0"/>
          <c:tx>
            <c:strRef>
              <c:f>'Pivot Report'!$D$4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Aptos" panose="020B0004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Report'!$C$5:$C$36</c:f>
              <c:strCache>
                <c:ptCount val="31"/>
                <c:pt idx="0">
                  <c:v>01-01-2024</c:v>
                </c:pt>
                <c:pt idx="1">
                  <c:v>02-01-2024</c:v>
                </c:pt>
                <c:pt idx="2">
                  <c:v>03-01-2024</c:v>
                </c:pt>
                <c:pt idx="3">
                  <c:v>04-01-2024</c:v>
                </c:pt>
                <c:pt idx="4">
                  <c:v>05-01-2024</c:v>
                </c:pt>
                <c:pt idx="5">
                  <c:v>06-01-2024</c:v>
                </c:pt>
                <c:pt idx="6">
                  <c:v>07-01-2024</c:v>
                </c:pt>
                <c:pt idx="7">
                  <c:v>08-01-2024</c:v>
                </c:pt>
                <c:pt idx="8">
                  <c:v>09-01-2024</c:v>
                </c:pt>
                <c:pt idx="9">
                  <c:v>10-01-2024</c:v>
                </c:pt>
                <c:pt idx="10">
                  <c:v>11-01-2024</c:v>
                </c:pt>
                <c:pt idx="11">
                  <c:v>12-01-2024</c:v>
                </c:pt>
                <c:pt idx="12">
                  <c:v>13-01-2024</c:v>
                </c:pt>
                <c:pt idx="13">
                  <c:v>14-01-2024</c:v>
                </c:pt>
                <c:pt idx="14">
                  <c:v>15-01-2024</c:v>
                </c:pt>
                <c:pt idx="15">
                  <c:v>16-01-2024</c:v>
                </c:pt>
                <c:pt idx="16">
                  <c:v>17-01-2024</c:v>
                </c:pt>
                <c:pt idx="17">
                  <c:v>18-01-2024</c:v>
                </c:pt>
                <c:pt idx="18">
                  <c:v>19-01-2024</c:v>
                </c:pt>
                <c:pt idx="19">
                  <c:v>20-01-2024</c:v>
                </c:pt>
                <c:pt idx="20">
                  <c:v>21-01-2024</c:v>
                </c:pt>
                <c:pt idx="21">
                  <c:v>22-01-2024</c:v>
                </c:pt>
                <c:pt idx="22">
                  <c:v>23-01-2024</c:v>
                </c:pt>
                <c:pt idx="23">
                  <c:v>24-01-2024</c:v>
                </c:pt>
                <c:pt idx="24">
                  <c:v>25-01-2024</c:v>
                </c:pt>
                <c:pt idx="25">
                  <c:v>26-01-2024</c:v>
                </c:pt>
                <c:pt idx="26">
                  <c:v>27-01-2024</c:v>
                </c:pt>
                <c:pt idx="27">
                  <c:v>28-01-2024</c:v>
                </c:pt>
                <c:pt idx="28">
                  <c:v>29-01-2024</c:v>
                </c:pt>
                <c:pt idx="29">
                  <c:v>30-01-2024</c:v>
                </c:pt>
                <c:pt idx="30">
                  <c:v>31-01-2024</c:v>
                </c:pt>
              </c:strCache>
            </c:strRef>
          </c:cat>
          <c:val>
            <c:numRef>
              <c:f>'Pivot Report'!$D$5:$D$36</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7-BC68-47E1-9790-14D83FC8DEE0}"/>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919555071"/>
        <c:axId val="1919551231"/>
      </c:areaChart>
      <c:catAx>
        <c:axId val="1919555071"/>
        <c:scaling>
          <c:orientation val="minMax"/>
        </c:scaling>
        <c:delete val="0"/>
        <c:axPos val="b"/>
        <c:numFmt formatCode="General" sourceLinked="1"/>
        <c:majorTickMark val="none"/>
        <c:minorTickMark val="none"/>
        <c:tickLblPos val="nextTo"/>
        <c:spPr>
          <a:solidFill>
            <a:schemeClr val="accent1"/>
          </a:solid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800" b="0" i="0" u="none" strike="noStrike" kern="1200" baseline="0">
                <a:solidFill>
                  <a:schemeClr val="lt1"/>
                </a:solidFill>
                <a:latin typeface="Aptos" panose="020B0004020202020204" pitchFamily="34" charset="0"/>
                <a:ea typeface="+mn-ea"/>
                <a:cs typeface="+mn-cs"/>
              </a:defRPr>
            </a:pPr>
            <a:endParaRPr lang="en-US"/>
          </a:p>
        </c:txPr>
        <c:crossAx val="1919551231"/>
        <c:crosses val="autoZero"/>
        <c:auto val="1"/>
        <c:lblAlgn val="ctr"/>
        <c:lblOffset val="100"/>
        <c:noMultiLvlLbl val="0"/>
      </c:catAx>
      <c:valAx>
        <c:axId val="1919551231"/>
        <c:scaling>
          <c:orientation val="minMax"/>
        </c:scaling>
        <c:delete val="1"/>
        <c:axPos val="l"/>
        <c:numFmt formatCode="General" sourceLinked="1"/>
        <c:majorTickMark val="out"/>
        <c:minorTickMark val="none"/>
        <c:tickLblPos val="nextTo"/>
        <c:crossAx val="191955507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Report!PivotTable5</c:name>
    <c:fmtId val="5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140212596665072E-2"/>
          <c:y val="1.5439848127621789E-2"/>
          <c:w val="0.91429978156695346"/>
          <c:h val="0.79146339072761129"/>
        </c:manualLayout>
      </c:layout>
      <c:areaChart>
        <c:grouping val="standard"/>
        <c:varyColors val="0"/>
        <c:ser>
          <c:idx val="0"/>
          <c:order val="0"/>
          <c:tx>
            <c:strRef>
              <c:f>'Pivot Report'!$G$4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Report'!$F$5:$F$36</c:f>
              <c:strCache>
                <c:ptCount val="31"/>
                <c:pt idx="0">
                  <c:v>01-01-2024</c:v>
                </c:pt>
                <c:pt idx="1">
                  <c:v>02-01-2024</c:v>
                </c:pt>
                <c:pt idx="2">
                  <c:v>03-01-2024</c:v>
                </c:pt>
                <c:pt idx="3">
                  <c:v>04-01-2024</c:v>
                </c:pt>
                <c:pt idx="4">
                  <c:v>05-01-2024</c:v>
                </c:pt>
                <c:pt idx="5">
                  <c:v>06-01-2024</c:v>
                </c:pt>
                <c:pt idx="6">
                  <c:v>07-01-2024</c:v>
                </c:pt>
                <c:pt idx="7">
                  <c:v>08-01-2024</c:v>
                </c:pt>
                <c:pt idx="8">
                  <c:v>09-01-2024</c:v>
                </c:pt>
                <c:pt idx="9">
                  <c:v>10-01-2024</c:v>
                </c:pt>
                <c:pt idx="10">
                  <c:v>11-01-2024</c:v>
                </c:pt>
                <c:pt idx="11">
                  <c:v>12-01-2024</c:v>
                </c:pt>
                <c:pt idx="12">
                  <c:v>13-01-2024</c:v>
                </c:pt>
                <c:pt idx="13">
                  <c:v>14-01-2024</c:v>
                </c:pt>
                <c:pt idx="14">
                  <c:v>15-01-2024</c:v>
                </c:pt>
                <c:pt idx="15">
                  <c:v>16-01-2024</c:v>
                </c:pt>
                <c:pt idx="16">
                  <c:v>17-01-2024</c:v>
                </c:pt>
                <c:pt idx="17">
                  <c:v>18-01-2024</c:v>
                </c:pt>
                <c:pt idx="18">
                  <c:v>19-01-2024</c:v>
                </c:pt>
                <c:pt idx="19">
                  <c:v>20-01-2024</c:v>
                </c:pt>
                <c:pt idx="20">
                  <c:v>21-01-2024</c:v>
                </c:pt>
                <c:pt idx="21">
                  <c:v>22-01-2024</c:v>
                </c:pt>
                <c:pt idx="22">
                  <c:v>23-01-2024</c:v>
                </c:pt>
                <c:pt idx="23">
                  <c:v>24-01-2024</c:v>
                </c:pt>
                <c:pt idx="24">
                  <c:v>25-01-2024</c:v>
                </c:pt>
                <c:pt idx="25">
                  <c:v>26-01-2024</c:v>
                </c:pt>
                <c:pt idx="26">
                  <c:v>27-01-2024</c:v>
                </c:pt>
                <c:pt idx="27">
                  <c:v>28-01-2024</c:v>
                </c:pt>
                <c:pt idx="28">
                  <c:v>29-01-2024</c:v>
                </c:pt>
                <c:pt idx="29">
                  <c:v>30-01-2024</c:v>
                </c:pt>
                <c:pt idx="30">
                  <c:v>31-01-2024</c:v>
                </c:pt>
              </c:strCache>
            </c:strRef>
          </c:cat>
          <c:val>
            <c:numRef>
              <c:f>'Pivot Report'!$G$5:$G$36</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7-D9F9-4EB7-B0A8-F25EABA2977F}"/>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114663360"/>
        <c:axId val="2114680160"/>
      </c:areaChart>
      <c:catAx>
        <c:axId val="211466336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800" b="0" i="0" u="none" strike="noStrike" kern="1200" baseline="0">
                <a:solidFill>
                  <a:schemeClr val="lt1"/>
                </a:solidFill>
                <a:latin typeface="Aptos" panose="020B0004020202020204" pitchFamily="34" charset="0"/>
                <a:ea typeface="+mn-ea"/>
                <a:cs typeface="+mn-cs"/>
              </a:defRPr>
            </a:pPr>
            <a:endParaRPr lang="en-US"/>
          </a:p>
        </c:txPr>
        <c:crossAx val="2114680160"/>
        <c:crosses val="autoZero"/>
        <c:auto val="1"/>
        <c:lblAlgn val="ctr"/>
        <c:lblOffset val="100"/>
        <c:noMultiLvlLbl val="0"/>
      </c:catAx>
      <c:valAx>
        <c:axId val="2114680160"/>
        <c:scaling>
          <c:orientation val="minMax"/>
        </c:scaling>
        <c:delete val="1"/>
        <c:axPos val="l"/>
        <c:numFmt formatCode="0.00" sourceLinked="1"/>
        <c:majorTickMark val="out"/>
        <c:minorTickMark val="none"/>
        <c:tickLblPos val="nextTo"/>
        <c:crossAx val="211466336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Report!PivotTable6</c:name>
    <c:fmtId val="6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Report'!$J$4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Report'!$I$5:$I$36</c:f>
              <c:strCache>
                <c:ptCount val="31"/>
                <c:pt idx="0">
                  <c:v>01-01-2024</c:v>
                </c:pt>
                <c:pt idx="1">
                  <c:v>02-01-2024</c:v>
                </c:pt>
                <c:pt idx="2">
                  <c:v>03-01-2024</c:v>
                </c:pt>
                <c:pt idx="3">
                  <c:v>04-01-2024</c:v>
                </c:pt>
                <c:pt idx="4">
                  <c:v>05-01-2024</c:v>
                </c:pt>
                <c:pt idx="5">
                  <c:v>06-01-2024</c:v>
                </c:pt>
                <c:pt idx="6">
                  <c:v>07-01-2024</c:v>
                </c:pt>
                <c:pt idx="7">
                  <c:v>08-01-2024</c:v>
                </c:pt>
                <c:pt idx="8">
                  <c:v>09-01-2024</c:v>
                </c:pt>
                <c:pt idx="9">
                  <c:v>10-01-2024</c:v>
                </c:pt>
                <c:pt idx="10">
                  <c:v>11-01-2024</c:v>
                </c:pt>
                <c:pt idx="11">
                  <c:v>12-01-2024</c:v>
                </c:pt>
                <c:pt idx="12">
                  <c:v>13-01-2024</c:v>
                </c:pt>
                <c:pt idx="13">
                  <c:v>14-01-2024</c:v>
                </c:pt>
                <c:pt idx="14">
                  <c:v>15-01-2024</c:v>
                </c:pt>
                <c:pt idx="15">
                  <c:v>16-01-2024</c:v>
                </c:pt>
                <c:pt idx="16">
                  <c:v>17-01-2024</c:v>
                </c:pt>
                <c:pt idx="17">
                  <c:v>18-01-2024</c:v>
                </c:pt>
                <c:pt idx="18">
                  <c:v>19-01-2024</c:v>
                </c:pt>
                <c:pt idx="19">
                  <c:v>20-01-2024</c:v>
                </c:pt>
                <c:pt idx="20">
                  <c:v>21-01-2024</c:v>
                </c:pt>
                <c:pt idx="21">
                  <c:v>22-01-2024</c:v>
                </c:pt>
                <c:pt idx="22">
                  <c:v>23-01-2024</c:v>
                </c:pt>
                <c:pt idx="23">
                  <c:v>24-01-2024</c:v>
                </c:pt>
                <c:pt idx="24">
                  <c:v>25-01-2024</c:v>
                </c:pt>
                <c:pt idx="25">
                  <c:v>26-01-2024</c:v>
                </c:pt>
                <c:pt idx="26">
                  <c:v>27-01-2024</c:v>
                </c:pt>
                <c:pt idx="27">
                  <c:v>28-01-2024</c:v>
                </c:pt>
                <c:pt idx="28">
                  <c:v>29-01-2024</c:v>
                </c:pt>
                <c:pt idx="29">
                  <c:v>30-01-2024</c:v>
                </c:pt>
                <c:pt idx="30">
                  <c:v>31-01-2024</c:v>
                </c:pt>
              </c:strCache>
            </c:strRef>
          </c:cat>
          <c:val>
            <c:numRef>
              <c:f>'Pivot Report'!$J$5:$J$36</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7-D96B-4439-8452-D3DFC7AB92EA}"/>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114762240"/>
        <c:axId val="2114762720"/>
      </c:areaChart>
      <c:catAx>
        <c:axId val="211476224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800" b="0" i="0" u="none" strike="noStrike" kern="1200" baseline="0">
                <a:solidFill>
                  <a:schemeClr val="lt1"/>
                </a:solidFill>
                <a:latin typeface="Aptos" panose="020B0004020202020204" pitchFamily="34" charset="0"/>
                <a:ea typeface="+mn-ea"/>
                <a:cs typeface="+mn-cs"/>
              </a:defRPr>
            </a:pPr>
            <a:endParaRPr lang="en-US"/>
          </a:p>
        </c:txPr>
        <c:crossAx val="2114762720"/>
        <c:crosses val="autoZero"/>
        <c:auto val="1"/>
        <c:lblAlgn val="ctr"/>
        <c:lblOffset val="100"/>
        <c:noMultiLvlLbl val="0"/>
      </c:catAx>
      <c:valAx>
        <c:axId val="2114762720"/>
        <c:scaling>
          <c:orientation val="minMax"/>
        </c:scaling>
        <c:delete val="1"/>
        <c:axPos val="l"/>
        <c:numFmt formatCode="0.00" sourceLinked="1"/>
        <c:majorTickMark val="out"/>
        <c:minorTickMark val="none"/>
        <c:tickLblPos val="nextTo"/>
        <c:crossAx val="211476224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A357F6C-D97E-4F50-985F-B2AABD8203DC}"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E318819-9B75-484A-AFA1-4F1719E1C249}"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barChart>
        <c:barDir val="bar"/>
        <c:grouping val="clustered"/>
        <c:varyColors val="0"/>
        <c:ser>
          <c:idx val="0"/>
          <c:order val="0"/>
          <c:tx>
            <c:v>Count of Patient Admission Flag</c:v>
          </c:tx>
          <c:spPr>
            <a:solidFill>
              <a:schemeClr val="accent1"/>
            </a:solidFill>
            <a:ln>
              <a:noFill/>
            </a:ln>
            <a:effectLst/>
          </c:spPr>
          <c:invertIfNegative val="0"/>
          <c:dLbls>
            <c:dLbl>
              <c:idx val="0"/>
              <c:tx>
                <c:rich>
                  <a:bodyPr/>
                  <a:lstStyle/>
                  <a:p>
                    <a:endParaRPr lang="en-IN"/>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B129-4A91-B00F-8BAE4116F836}"/>
                </c:ext>
              </c:extLst>
            </c:dLbl>
            <c:dLbl>
              <c:idx val="1"/>
              <c:tx>
                <c:rich>
                  <a:bodyPr/>
                  <a:lstStyle/>
                  <a:p>
                    <a:endParaRPr lang="en-IN"/>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B129-4A91-B00F-8BAE4116F83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2"/>
              <c:pt idx="0">
                <c:v>Admitted</c:v>
              </c:pt>
              <c:pt idx="1">
                <c:v>Not Admitted</c:v>
              </c:pt>
            </c:strLit>
          </c:cat>
          <c:val>
            <c:numLit>
              <c:formatCode>General</c:formatCode>
              <c:ptCount val="2"/>
              <c:pt idx="0">
                <c:v>253</c:v>
              </c:pt>
              <c:pt idx="1">
                <c:v>253</c:v>
              </c:pt>
            </c:numLit>
          </c:val>
          <c:extLst>
            <c:ext xmlns:c15="http://schemas.microsoft.com/office/drawing/2012/chart" uri="{02D57815-91ED-43cb-92C2-25804820EDAC}">
              <c15:datalabelsRange>
                <c15:f>'Pivot Report'!#REF!</c15:f>
              </c15:datalabelsRange>
            </c:ext>
            <c:ext xmlns:c16="http://schemas.microsoft.com/office/drawing/2014/chart" uri="{C3380CC4-5D6E-409C-BE32-E72D297353CC}">
              <c16:uniqueId val="{00000000-B129-4A91-B00F-8BAE4116F836}"/>
            </c:ext>
          </c:extLst>
        </c:ser>
        <c:ser>
          <c:idx val="1"/>
          <c:order val="1"/>
          <c:tx>
            <c:v>Count of Patient Admission Flag2</c:v>
          </c:tx>
          <c:spPr>
            <a:solidFill>
              <a:schemeClr val="accent2"/>
            </a:solidFill>
            <a:ln>
              <a:noFill/>
            </a:ln>
            <a:effectLst/>
          </c:spPr>
          <c:invertIfNegative val="0"/>
          <c:cat>
            <c:strLit>
              <c:ptCount val="2"/>
              <c:pt idx="0">
                <c:v>Admitted</c:v>
              </c:pt>
              <c:pt idx="1">
                <c:v>Not Admitted</c:v>
              </c:pt>
            </c:strLit>
          </c:cat>
          <c:val>
            <c:numLit>
              <c:formatCode>General</c:formatCode>
              <c:ptCount val="2"/>
              <c:pt idx="0">
                <c:v>0.5</c:v>
              </c:pt>
              <c:pt idx="1">
                <c:v>0.5</c:v>
              </c:pt>
            </c:numLit>
          </c:val>
          <c:extLst>
            <c:ext xmlns:c16="http://schemas.microsoft.com/office/drawing/2014/chart" uri="{C3380CC4-5D6E-409C-BE32-E72D297353CC}">
              <c16:uniqueId val="{00000001-B129-4A91-B00F-8BAE4116F836}"/>
            </c:ext>
          </c:extLst>
        </c:ser>
        <c:dLbls>
          <c:showLegendKey val="0"/>
          <c:showVal val="0"/>
          <c:showCatName val="0"/>
          <c:showSerName val="0"/>
          <c:showPercent val="0"/>
          <c:showBubbleSize val="0"/>
        </c:dLbls>
        <c:gapWidth val="0"/>
        <c:axId val="2107885775"/>
        <c:axId val="2107881455"/>
      </c:barChart>
      <c:catAx>
        <c:axId val="2107885775"/>
        <c:scaling>
          <c:orientation val="minMax"/>
        </c:scaling>
        <c:delete val="1"/>
        <c:axPos val="l"/>
        <c:numFmt formatCode="General" sourceLinked="1"/>
        <c:majorTickMark val="none"/>
        <c:minorTickMark val="none"/>
        <c:tickLblPos val="nextTo"/>
        <c:crossAx val="2107881455"/>
        <c:crosses val="autoZero"/>
        <c:auto val="1"/>
        <c:lblAlgn val="ctr"/>
        <c:lblOffset val="100"/>
        <c:noMultiLvlLbl val="0"/>
      </c:catAx>
      <c:valAx>
        <c:axId val="2107881455"/>
        <c:scaling>
          <c:orientation val="minMax"/>
        </c:scaling>
        <c:delete val="1"/>
        <c:axPos val="b"/>
        <c:numFmt formatCode="General" sourceLinked="1"/>
        <c:majorTickMark val="none"/>
        <c:minorTickMark val="none"/>
        <c:tickLblPos val="nextTo"/>
        <c:crossAx val="2107885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AEAEA"/>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5E12651-2203-4A1F-A883-98FD04C60F2E}"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s>
    <c:plotArea>
      <c:layout>
        <c:manualLayout>
          <c:layoutTarget val="inner"/>
          <c:xMode val="edge"/>
          <c:yMode val="edge"/>
          <c:x val="4.1131400927034868E-3"/>
          <c:y val="0.45495860954454009"/>
          <c:w val="0.93259187048920733"/>
          <c:h val="0.47292352777659991"/>
        </c:manualLayout>
      </c:layout>
      <c:barChart>
        <c:barDir val="bar"/>
        <c:grouping val="clustered"/>
        <c:varyColors val="0"/>
        <c:ser>
          <c:idx val="0"/>
          <c:order val="0"/>
          <c:tx>
            <c:strRef>
              <c:f>'Pivot Report'!$B$85</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3DFF-48E2-8333-867281950254}"/>
              </c:ext>
            </c:extLst>
          </c:dPt>
          <c:dPt>
            <c:idx val="1"/>
            <c:invertIfNegative val="0"/>
            <c:bubble3D val="0"/>
            <c:extLst>
              <c:ext xmlns:c16="http://schemas.microsoft.com/office/drawing/2014/chart" uri="{C3380CC4-5D6E-409C-BE32-E72D297353CC}">
                <c16:uniqueId val="{00000001-3DFF-48E2-8333-867281950254}"/>
              </c:ext>
            </c:extLst>
          </c:dPt>
          <c:dLbls>
            <c:dLbl>
              <c:idx val="1"/>
              <c:tx>
                <c:rich>
                  <a:bodyPr/>
                  <a:lstStyle/>
                  <a:p>
                    <a:fld id="{45E12651-2203-4A1F-A883-98FD04C60F2E}"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3DFF-48E2-8333-86728195025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Report'!$A$86:$A$88</c:f>
              <c:strCache>
                <c:ptCount val="2"/>
                <c:pt idx="0">
                  <c:v>Admitted</c:v>
                </c:pt>
                <c:pt idx="1">
                  <c:v>Not Admitted</c:v>
                </c:pt>
              </c:strCache>
            </c:strRef>
          </c:cat>
          <c:val>
            <c:numRef>
              <c:f>'Pivot Report'!$B$86:$B$88</c:f>
              <c:numCache>
                <c:formatCode>0</c:formatCode>
                <c:ptCount val="2"/>
                <c:pt idx="0">
                  <c:v>269</c:v>
                </c:pt>
                <c:pt idx="1">
                  <c:v>244</c:v>
                </c:pt>
              </c:numCache>
            </c:numRef>
          </c:val>
          <c:extLst>
            <c:ext xmlns:c16="http://schemas.microsoft.com/office/drawing/2014/chart" uri="{C3380CC4-5D6E-409C-BE32-E72D297353CC}">
              <c16:uniqueId val="{0000000F-13D5-492C-8899-42EB18A784E6}"/>
            </c:ext>
          </c:extLst>
        </c:ser>
        <c:ser>
          <c:idx val="1"/>
          <c:order val="1"/>
          <c:tx>
            <c:strRef>
              <c:f>'Pivot Report'!$C$85</c:f>
              <c:strCache>
                <c:ptCount val="1"/>
                <c:pt idx="0">
                  <c:v>Count of Patient Admission Flag2</c:v>
                </c:pt>
              </c:strCache>
            </c:strRef>
          </c:tx>
          <c:spPr>
            <a:solidFill>
              <a:schemeClr val="accent2"/>
            </a:solidFill>
            <a:ln>
              <a:noFill/>
            </a:ln>
            <a:effectLst/>
          </c:spPr>
          <c:invertIfNegative val="0"/>
          <c:cat>
            <c:strRef>
              <c:f>'Pivot Report'!$A$86:$A$88</c:f>
              <c:strCache>
                <c:ptCount val="2"/>
                <c:pt idx="0">
                  <c:v>Admitted</c:v>
                </c:pt>
                <c:pt idx="1">
                  <c:v>Not Admitted</c:v>
                </c:pt>
              </c:strCache>
            </c:strRef>
          </c:cat>
          <c:val>
            <c:numRef>
              <c:f>'Pivot Report'!$C$86:$C$88</c:f>
              <c:numCache>
                <c:formatCode>0.00%</c:formatCode>
                <c:ptCount val="2"/>
                <c:pt idx="0">
                  <c:v>0.52436647173489281</c:v>
                </c:pt>
                <c:pt idx="1">
                  <c:v>0.47563352826510719</c:v>
                </c:pt>
              </c:numCache>
            </c:numRef>
          </c:val>
          <c:extLst>
            <c:ext xmlns:c16="http://schemas.microsoft.com/office/drawing/2014/chart" uri="{C3380CC4-5D6E-409C-BE32-E72D297353CC}">
              <c16:uniqueId val="{00000010-13D5-492C-8899-42EB18A784E6}"/>
            </c:ext>
          </c:extLst>
        </c:ser>
        <c:dLbls>
          <c:showLegendKey val="0"/>
          <c:showVal val="0"/>
          <c:showCatName val="0"/>
          <c:showSerName val="0"/>
          <c:showPercent val="0"/>
          <c:showBubbleSize val="0"/>
        </c:dLbls>
        <c:gapWidth val="0"/>
        <c:axId val="904574863"/>
        <c:axId val="904572463"/>
      </c:barChart>
      <c:catAx>
        <c:axId val="904574863"/>
        <c:scaling>
          <c:orientation val="minMax"/>
        </c:scaling>
        <c:delete val="1"/>
        <c:axPos val="l"/>
        <c:numFmt formatCode="General" sourceLinked="1"/>
        <c:majorTickMark val="none"/>
        <c:minorTickMark val="none"/>
        <c:tickLblPos val="nextTo"/>
        <c:crossAx val="904572463"/>
        <c:crosses val="autoZero"/>
        <c:auto val="1"/>
        <c:lblAlgn val="ctr"/>
        <c:lblOffset val="100"/>
        <c:noMultiLvlLbl val="0"/>
      </c:catAx>
      <c:valAx>
        <c:axId val="904572463"/>
        <c:scaling>
          <c:orientation val="minMax"/>
        </c:scaling>
        <c:delete val="1"/>
        <c:axPos val="b"/>
        <c:numFmt formatCode="0" sourceLinked="1"/>
        <c:majorTickMark val="none"/>
        <c:minorTickMark val="none"/>
        <c:tickLblPos val="nextTo"/>
        <c:crossAx val="904574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4">
  <a:schemeClr val="accent4"/>
</cs:colorStyle>
</file>

<file path=xl/charts/colors6.xml><?xml version="1.0" encoding="utf-8"?>
<cs:colorStyle xmlns:cs="http://schemas.microsoft.com/office/drawing/2012/chartStyle" xmlns:a="http://schemas.openxmlformats.org/drawingml/2006/main" meth="withinLinearReversed" id="24">
  <a:schemeClr val="accent4"/>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Daily ER No Of Patients'!A1"/><Relationship Id="rId13" Type="http://schemas.openxmlformats.org/officeDocument/2006/relationships/chart" Target="../charts/chart3.xml"/><Relationship Id="rId18" Type="http://schemas.openxmlformats.org/officeDocument/2006/relationships/chart" Target="../charts/chart7.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caftion Score Daily Trend'!A1"/><Relationship Id="rId17" Type="http://schemas.openxmlformats.org/officeDocument/2006/relationships/chart" Target="../charts/chart6.xml"/><Relationship Id="rId2" Type="http://schemas.openxmlformats.org/officeDocument/2006/relationships/image" Target="../media/image2.png"/><Relationship Id="rId16" Type="http://schemas.openxmlformats.org/officeDocument/2006/relationships/chart" Target="../charts/chart5.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2.xml"/><Relationship Id="rId5" Type="http://schemas.openxmlformats.org/officeDocument/2006/relationships/image" Target="../media/image5.svg"/><Relationship Id="rId15" Type="http://schemas.openxmlformats.org/officeDocument/2006/relationships/chart" Target="../charts/chart4.xml"/><Relationship Id="rId10" Type="http://schemas.openxmlformats.org/officeDocument/2006/relationships/hyperlink" Target="#'Average Wait Time Daily Trend'!A1"/><Relationship Id="rId4" Type="http://schemas.openxmlformats.org/officeDocument/2006/relationships/image" Target="../media/image4.png"/><Relationship Id="rId9" Type="http://schemas.openxmlformats.org/officeDocument/2006/relationships/chart" Target="../charts/chart1.xml"/><Relationship Id="rId14" Type="http://schemas.openxmlformats.org/officeDocument/2006/relationships/image" Target="../media/image8.emf"/></Relationships>
</file>

<file path=xl/drawings/_rels/drawing2.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8.xml"/><Relationship Id="rId4" Type="http://schemas.openxmlformats.org/officeDocument/2006/relationships/image" Target="../media/image11.svg"/></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1.svg"/></Relationships>
</file>

<file path=xl/drawings/_rels/drawing4.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1.svg"/></Relationships>
</file>

<file path=xl/drawings/_rels/drawing5.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absolute">
    <xdr:from>
      <xdr:col>0</xdr:col>
      <xdr:colOff>101600</xdr:colOff>
      <xdr:row>0</xdr:row>
      <xdr:rowOff>114300</xdr:rowOff>
    </xdr:from>
    <xdr:to>
      <xdr:col>6</xdr:col>
      <xdr:colOff>400050</xdr:colOff>
      <xdr:row>4</xdr:row>
      <xdr:rowOff>44450</xdr:rowOff>
    </xdr:to>
    <xdr:sp macro="" textlink="">
      <xdr:nvSpPr>
        <xdr:cNvPr id="2" name="Rectangle: Rounded Corners 1">
          <a:extLst>
            <a:ext uri="{FF2B5EF4-FFF2-40B4-BE49-F238E27FC236}">
              <a16:creationId xmlns:a16="http://schemas.microsoft.com/office/drawing/2014/main" id="{F0645AC2-8277-6877-870E-B7C961C0BB05}"/>
            </a:ext>
          </a:extLst>
        </xdr:cNvPr>
        <xdr:cNvSpPr/>
      </xdr:nvSpPr>
      <xdr:spPr>
        <a:xfrm>
          <a:off x="101600" y="114300"/>
          <a:ext cx="4025900" cy="666750"/>
        </a:xfrm>
        <a:prstGeom prst="roundRect">
          <a:avLst/>
        </a:prstGeom>
        <a:solidFill>
          <a:schemeClr val="bg2"/>
        </a:solidFill>
        <a:ln>
          <a:noFill/>
        </a:ln>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6</xdr:col>
      <xdr:colOff>514350</xdr:colOff>
      <xdr:row>0</xdr:row>
      <xdr:rowOff>120650</xdr:rowOff>
    </xdr:from>
    <xdr:to>
      <xdr:col>9</xdr:col>
      <xdr:colOff>133350</xdr:colOff>
      <xdr:row>4</xdr:row>
      <xdr:rowOff>50800</xdr:rowOff>
    </xdr:to>
    <xdr:sp macro="" textlink="">
      <xdr:nvSpPr>
        <xdr:cNvPr id="3" name="Rectangle: Rounded Corners 2">
          <a:extLst>
            <a:ext uri="{FF2B5EF4-FFF2-40B4-BE49-F238E27FC236}">
              <a16:creationId xmlns:a16="http://schemas.microsoft.com/office/drawing/2014/main" id="{FBA0E929-A6EB-48C7-8D6F-2C8FA31F6E1E}"/>
            </a:ext>
          </a:extLst>
        </xdr:cNvPr>
        <xdr:cNvSpPr/>
      </xdr:nvSpPr>
      <xdr:spPr>
        <a:xfrm>
          <a:off x="4241800" y="120650"/>
          <a:ext cx="1447800" cy="666750"/>
        </a:xfrm>
        <a:prstGeom prst="roundRect">
          <a:avLst/>
        </a:prstGeom>
        <a:solidFill>
          <a:schemeClr val="bg2"/>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9</xdr:col>
      <xdr:colOff>311150</xdr:colOff>
      <xdr:row>0</xdr:row>
      <xdr:rowOff>101600</xdr:rowOff>
    </xdr:from>
    <xdr:to>
      <xdr:col>12</xdr:col>
      <xdr:colOff>133350</xdr:colOff>
      <xdr:row>8</xdr:row>
      <xdr:rowOff>114300</xdr:rowOff>
    </xdr:to>
    <xdr:sp macro="" textlink="">
      <xdr:nvSpPr>
        <xdr:cNvPr id="4" name="Rectangle: Rounded Corners 3">
          <a:extLst>
            <a:ext uri="{FF2B5EF4-FFF2-40B4-BE49-F238E27FC236}">
              <a16:creationId xmlns:a16="http://schemas.microsoft.com/office/drawing/2014/main" id="{D8505DE8-A400-421D-B569-2EC46A1A3879}"/>
            </a:ext>
          </a:extLst>
        </xdr:cNvPr>
        <xdr:cNvSpPr/>
      </xdr:nvSpPr>
      <xdr:spPr>
        <a:xfrm>
          <a:off x="5867400" y="101600"/>
          <a:ext cx="1651000" cy="1485900"/>
        </a:xfrm>
        <a:prstGeom prst="roundRect">
          <a:avLst/>
        </a:prstGeom>
        <a:solidFill>
          <a:schemeClr val="bg2"/>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12</xdr:col>
      <xdr:colOff>254000</xdr:colOff>
      <xdr:row>0</xdr:row>
      <xdr:rowOff>107950</xdr:rowOff>
    </xdr:from>
    <xdr:to>
      <xdr:col>15</xdr:col>
      <xdr:colOff>101600</xdr:colOff>
      <xdr:row>8</xdr:row>
      <xdr:rowOff>120650</xdr:rowOff>
    </xdr:to>
    <xdr:sp macro="" textlink="">
      <xdr:nvSpPr>
        <xdr:cNvPr id="5" name="Rectangle: Rounded Corners 4">
          <a:extLst>
            <a:ext uri="{FF2B5EF4-FFF2-40B4-BE49-F238E27FC236}">
              <a16:creationId xmlns:a16="http://schemas.microsoft.com/office/drawing/2014/main" id="{CA65AC31-97DB-4C8F-AE58-324C09328D00}"/>
            </a:ext>
          </a:extLst>
        </xdr:cNvPr>
        <xdr:cNvSpPr/>
      </xdr:nvSpPr>
      <xdr:spPr>
        <a:xfrm>
          <a:off x="7639050" y="107950"/>
          <a:ext cx="1676400" cy="1485900"/>
        </a:xfrm>
        <a:prstGeom prst="roundRect">
          <a:avLst/>
        </a:prstGeom>
        <a:solidFill>
          <a:schemeClr val="bg2"/>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0</xdr:col>
      <xdr:colOff>133350</xdr:colOff>
      <xdr:row>4</xdr:row>
      <xdr:rowOff>133350</xdr:rowOff>
    </xdr:from>
    <xdr:to>
      <xdr:col>1</xdr:col>
      <xdr:colOff>482600</xdr:colOff>
      <xdr:row>19</xdr:row>
      <xdr:rowOff>50297</xdr:rowOff>
    </xdr:to>
    <xdr:sp macro="" textlink="">
      <xdr:nvSpPr>
        <xdr:cNvPr id="6" name="Rectangle: Rounded Corners 5">
          <a:extLst>
            <a:ext uri="{FF2B5EF4-FFF2-40B4-BE49-F238E27FC236}">
              <a16:creationId xmlns:a16="http://schemas.microsoft.com/office/drawing/2014/main" id="{B1D52722-73C0-4B9B-83C7-A5BA866C618C}"/>
            </a:ext>
          </a:extLst>
        </xdr:cNvPr>
        <xdr:cNvSpPr/>
      </xdr:nvSpPr>
      <xdr:spPr>
        <a:xfrm>
          <a:off x="133350" y="862657"/>
          <a:ext cx="959101" cy="2651848"/>
        </a:xfrm>
        <a:prstGeom prst="roundRect">
          <a:avLst/>
        </a:prstGeom>
        <a:solidFill>
          <a:schemeClr val="bg2"/>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xdr:col>
      <xdr:colOff>607293</xdr:colOff>
      <xdr:row>4</xdr:row>
      <xdr:rowOff>158750</xdr:rowOff>
    </xdr:from>
    <xdr:to>
      <xdr:col>9</xdr:col>
      <xdr:colOff>101600</xdr:colOff>
      <xdr:row>8</xdr:row>
      <xdr:rowOff>146050</xdr:rowOff>
    </xdr:to>
    <xdr:grpSp>
      <xdr:nvGrpSpPr>
        <xdr:cNvPr id="10" name="Group 9">
          <a:extLst>
            <a:ext uri="{FF2B5EF4-FFF2-40B4-BE49-F238E27FC236}">
              <a16:creationId xmlns:a16="http://schemas.microsoft.com/office/drawing/2014/main" id="{B6037EF3-A359-6539-A50D-859EDF6E63DB}"/>
            </a:ext>
          </a:extLst>
        </xdr:cNvPr>
        <xdr:cNvGrpSpPr/>
      </xdr:nvGrpSpPr>
      <xdr:grpSpPr>
        <a:xfrm>
          <a:off x="1217144" y="888057"/>
          <a:ext cx="4442278" cy="716607"/>
          <a:chOff x="1235943" y="933450"/>
          <a:chExt cx="4415557" cy="641350"/>
        </a:xfrm>
        <a:solidFill>
          <a:schemeClr val="bg2"/>
        </a:solidFill>
      </xdr:grpSpPr>
      <xdr:sp macro="" textlink="">
        <xdr:nvSpPr>
          <xdr:cNvPr id="7" name="Rectangle: Rounded Corners 6">
            <a:extLst>
              <a:ext uri="{FF2B5EF4-FFF2-40B4-BE49-F238E27FC236}">
                <a16:creationId xmlns:a16="http://schemas.microsoft.com/office/drawing/2014/main" id="{AE9FFDAC-657B-4DBD-93E2-FA61B733B32F}"/>
              </a:ext>
            </a:extLst>
          </xdr:cNvPr>
          <xdr:cNvSpPr/>
        </xdr:nvSpPr>
        <xdr:spPr>
          <a:xfrm>
            <a:off x="1235943" y="933450"/>
            <a:ext cx="1354857" cy="641350"/>
          </a:xfrm>
          <a:prstGeom prst="roundRect">
            <a:avLst/>
          </a:prstGeom>
          <a:grp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C0A4C95C-4F6B-4749-A67E-625E5BC5ADE2}"/>
              </a:ext>
            </a:extLst>
          </xdr:cNvPr>
          <xdr:cNvSpPr/>
        </xdr:nvSpPr>
        <xdr:spPr>
          <a:xfrm>
            <a:off x="2787650" y="946150"/>
            <a:ext cx="1346200" cy="622300"/>
          </a:xfrm>
          <a:prstGeom prst="roundRect">
            <a:avLst/>
          </a:prstGeom>
          <a:grp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64DA9BF7-D69A-4C4D-A9B4-EA0892E45642}"/>
              </a:ext>
            </a:extLst>
          </xdr:cNvPr>
          <xdr:cNvSpPr/>
        </xdr:nvSpPr>
        <xdr:spPr>
          <a:xfrm>
            <a:off x="4286250" y="946150"/>
            <a:ext cx="1365250" cy="622300"/>
          </a:xfrm>
          <a:prstGeom prst="roundRect">
            <a:avLst/>
          </a:prstGeom>
          <a:grp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grpSp>
    <xdr:clientData/>
  </xdr:twoCellAnchor>
  <xdr:twoCellAnchor editAs="absolute">
    <xdr:from>
      <xdr:col>1</xdr:col>
      <xdr:colOff>596900</xdr:colOff>
      <xdr:row>13</xdr:row>
      <xdr:rowOff>139449</xdr:rowOff>
    </xdr:from>
    <xdr:to>
      <xdr:col>9</xdr:col>
      <xdr:colOff>184150</xdr:colOff>
      <xdr:row>19</xdr:row>
      <xdr:rowOff>69599</xdr:rowOff>
    </xdr:to>
    <xdr:sp macro="" textlink="">
      <xdr:nvSpPr>
        <xdr:cNvPr id="11" name="Rectangle: Rounded Corners 10">
          <a:extLst>
            <a:ext uri="{FF2B5EF4-FFF2-40B4-BE49-F238E27FC236}">
              <a16:creationId xmlns:a16="http://schemas.microsoft.com/office/drawing/2014/main" id="{45AFA786-01FC-4861-B30A-51C715D801AE}"/>
            </a:ext>
          </a:extLst>
        </xdr:cNvPr>
        <xdr:cNvSpPr/>
      </xdr:nvSpPr>
      <xdr:spPr>
        <a:xfrm>
          <a:off x="1206751" y="2509697"/>
          <a:ext cx="4535221" cy="1024110"/>
        </a:xfrm>
        <a:prstGeom prst="roundRect">
          <a:avLst/>
        </a:prstGeom>
        <a:solidFill>
          <a:schemeClr val="bg2"/>
        </a:solidFill>
        <a:ln>
          <a:noFill/>
        </a:ln>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000"/>
        </a:p>
      </xdr:txBody>
    </xdr:sp>
    <xdr:clientData/>
  </xdr:twoCellAnchor>
  <xdr:twoCellAnchor editAs="absolute">
    <xdr:from>
      <xdr:col>9</xdr:col>
      <xdr:colOff>317689</xdr:colOff>
      <xdr:row>9</xdr:row>
      <xdr:rowOff>25714</xdr:rowOff>
    </xdr:from>
    <xdr:to>
      <xdr:col>15</xdr:col>
      <xdr:colOff>190689</xdr:colOff>
      <xdr:row>19</xdr:row>
      <xdr:rowOff>63814</xdr:rowOff>
    </xdr:to>
    <xdr:sp macro="" textlink="">
      <xdr:nvSpPr>
        <xdr:cNvPr id="13" name="Rectangle: Rounded Corners 12">
          <a:extLst>
            <a:ext uri="{FF2B5EF4-FFF2-40B4-BE49-F238E27FC236}">
              <a16:creationId xmlns:a16="http://schemas.microsoft.com/office/drawing/2014/main" id="{8843EF3E-863A-4265-A6EC-7FB61612F00F}"/>
            </a:ext>
          </a:extLst>
        </xdr:cNvPr>
        <xdr:cNvSpPr/>
      </xdr:nvSpPr>
      <xdr:spPr>
        <a:xfrm>
          <a:off x="5875511" y="1666655"/>
          <a:ext cx="3532109" cy="1861367"/>
        </a:xfrm>
        <a:prstGeom prst="roundRect">
          <a:avLst/>
        </a:prstGeom>
        <a:solidFill>
          <a:schemeClr val="bg2"/>
        </a:solidFill>
        <a:ln>
          <a:noFill/>
        </a:ln>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xdr:col>
      <xdr:colOff>279400</xdr:colOff>
      <xdr:row>0</xdr:row>
      <xdr:rowOff>133350</xdr:rowOff>
    </xdr:from>
    <xdr:to>
      <xdr:col>6</xdr:col>
      <xdr:colOff>431800</xdr:colOff>
      <xdr:row>2</xdr:row>
      <xdr:rowOff>120650</xdr:rowOff>
    </xdr:to>
    <xdr:sp macro="" textlink="">
      <xdr:nvSpPr>
        <xdr:cNvPr id="14" name="TextBox 13">
          <a:extLst>
            <a:ext uri="{FF2B5EF4-FFF2-40B4-BE49-F238E27FC236}">
              <a16:creationId xmlns:a16="http://schemas.microsoft.com/office/drawing/2014/main" id="{ED4EC9D4-1298-004C-D22D-2723D219258F}"/>
            </a:ext>
          </a:extLst>
        </xdr:cNvPr>
        <xdr:cNvSpPr txBox="1"/>
      </xdr:nvSpPr>
      <xdr:spPr>
        <a:xfrm>
          <a:off x="889000" y="133350"/>
          <a:ext cx="327025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lgn="ctr"/>
          <a:r>
            <a:rPr lang="en-IN" sz="1200" b="0" cap="none" spc="0">
              <a:ln w="0">
                <a:solidFill>
                  <a:schemeClr val="tx1"/>
                </a:solidFill>
              </a:ln>
              <a:solidFill>
                <a:schemeClr val="tx1"/>
              </a:solidFill>
              <a:effectLst/>
              <a:latin typeface="Noto Sans SC Black" panose="020B0200000000000000" pitchFamily="34" charset="-128"/>
              <a:ea typeface="Noto Sans SC Black" panose="020B0200000000000000" pitchFamily="34" charset="-128"/>
              <a:cs typeface="+mn-cs"/>
            </a:rPr>
            <a:t>Hospital Emergency Room Dashboard</a:t>
          </a:r>
        </a:p>
      </xdr:txBody>
    </xdr:sp>
    <xdr:clientData/>
  </xdr:twoCellAnchor>
  <xdr:twoCellAnchor editAs="oneCell">
    <xdr:from>
      <xdr:col>0</xdr:col>
      <xdr:colOff>133350</xdr:colOff>
      <xdr:row>0</xdr:row>
      <xdr:rowOff>127000</xdr:rowOff>
    </xdr:from>
    <xdr:to>
      <xdr:col>1</xdr:col>
      <xdr:colOff>425450</xdr:colOff>
      <xdr:row>3</xdr:row>
      <xdr:rowOff>171450</xdr:rowOff>
    </xdr:to>
    <xdr:pic>
      <xdr:nvPicPr>
        <xdr:cNvPr id="16" name="Picture 15">
          <a:extLst>
            <a:ext uri="{FF2B5EF4-FFF2-40B4-BE49-F238E27FC236}">
              <a16:creationId xmlns:a16="http://schemas.microsoft.com/office/drawing/2014/main" id="{6402C5C4-835B-5570-6065-3EB693E9264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296" t="12977" r="17217" b="15267"/>
        <a:stretch>
          <a:fillRect/>
        </a:stretch>
      </xdr:blipFill>
      <xdr:spPr>
        <a:xfrm>
          <a:off x="133350" y="127000"/>
          <a:ext cx="901700" cy="596900"/>
        </a:xfrm>
        <a:prstGeom prst="rect">
          <a:avLst/>
        </a:prstGeom>
      </xdr:spPr>
    </xdr:pic>
    <xdr:clientData/>
  </xdr:twoCellAnchor>
  <xdr:twoCellAnchor editAs="absolute">
    <xdr:from>
      <xdr:col>2</xdr:col>
      <xdr:colOff>317500</xdr:colOff>
      <xdr:row>2</xdr:row>
      <xdr:rowOff>88900</xdr:rowOff>
    </xdr:from>
    <xdr:to>
      <xdr:col>5</xdr:col>
      <xdr:colOff>19050</xdr:colOff>
      <xdr:row>3</xdr:row>
      <xdr:rowOff>152400</xdr:rowOff>
    </xdr:to>
    <xdr:sp macro="" textlink="">
      <xdr:nvSpPr>
        <xdr:cNvPr id="18" name="TextBox 17">
          <a:extLst>
            <a:ext uri="{FF2B5EF4-FFF2-40B4-BE49-F238E27FC236}">
              <a16:creationId xmlns:a16="http://schemas.microsoft.com/office/drawing/2014/main" id="{2BADB702-E592-2C60-9279-2CF9ED9F4036}"/>
            </a:ext>
          </a:extLst>
        </xdr:cNvPr>
        <xdr:cNvSpPr txBox="1"/>
      </xdr:nvSpPr>
      <xdr:spPr>
        <a:xfrm>
          <a:off x="1606550" y="457200"/>
          <a:ext cx="15303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marL="0" indent="0" algn="ctr"/>
          <a:r>
            <a:rPr lang="en-IN" sz="1200">
              <a:solidFill>
                <a:schemeClr val="dk1"/>
              </a:solidFill>
              <a:latin typeface="Cooper Black" panose="0208090404030B020404" pitchFamily="18" charset="0"/>
              <a:ea typeface="+mn-ea"/>
              <a:cs typeface="+mn-cs"/>
            </a:rPr>
            <a:t>Monthly Report</a:t>
          </a:r>
        </a:p>
      </xdr:txBody>
    </xdr:sp>
    <xdr:clientData/>
  </xdr:twoCellAnchor>
  <xdr:twoCellAnchor>
    <xdr:from>
      <xdr:col>1</xdr:col>
      <xdr:colOff>666750</xdr:colOff>
      <xdr:row>4</xdr:row>
      <xdr:rowOff>141952</xdr:rowOff>
    </xdr:from>
    <xdr:to>
      <xdr:col>3</xdr:col>
      <xdr:colOff>31750</xdr:colOff>
      <xdr:row>6</xdr:row>
      <xdr:rowOff>0</xdr:rowOff>
    </xdr:to>
    <xdr:sp macro="" textlink="'Pivot Report'!A5">
      <xdr:nvSpPr>
        <xdr:cNvPr id="21" name="TextBox 20">
          <a:extLst>
            <a:ext uri="{FF2B5EF4-FFF2-40B4-BE49-F238E27FC236}">
              <a16:creationId xmlns:a16="http://schemas.microsoft.com/office/drawing/2014/main" id="{D621FA3B-4C89-2635-CB48-44C7E0585D78}"/>
            </a:ext>
          </a:extLst>
        </xdr:cNvPr>
        <xdr:cNvSpPr txBox="1"/>
      </xdr:nvSpPr>
      <xdr:spPr>
        <a:xfrm>
          <a:off x="1276350" y="878552"/>
          <a:ext cx="654050" cy="2263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4E91365-E123-481D-AA22-CBD936E9E231}" type="TxLink">
            <a:rPr lang="en-US" sz="1100" b="0" i="0" u="none" strike="noStrike">
              <a:solidFill>
                <a:srgbClr val="000000"/>
              </a:solidFill>
              <a:latin typeface="Aptos Narrow"/>
            </a:rPr>
            <a:pPr/>
            <a:t>513</a:t>
          </a:fld>
          <a:endParaRPr lang="en-US" sz="1100"/>
        </a:p>
      </xdr:txBody>
    </xdr:sp>
    <xdr:clientData/>
  </xdr:twoCellAnchor>
  <xdr:twoCellAnchor>
    <xdr:from>
      <xdr:col>1</xdr:col>
      <xdr:colOff>641351</xdr:colOff>
      <xdr:row>5</xdr:row>
      <xdr:rowOff>139700</xdr:rowOff>
    </xdr:from>
    <xdr:to>
      <xdr:col>3</xdr:col>
      <xdr:colOff>425450</xdr:colOff>
      <xdr:row>6</xdr:row>
      <xdr:rowOff>171450</xdr:rowOff>
    </xdr:to>
    <xdr:sp macro="" textlink="">
      <xdr:nvSpPr>
        <xdr:cNvPr id="23" name="TextBox 22">
          <a:extLst>
            <a:ext uri="{FF2B5EF4-FFF2-40B4-BE49-F238E27FC236}">
              <a16:creationId xmlns:a16="http://schemas.microsoft.com/office/drawing/2014/main" id="{1C3FB824-345B-36D3-6816-4A4C5DCEA856}"/>
            </a:ext>
          </a:extLst>
        </xdr:cNvPr>
        <xdr:cNvSpPr txBox="1"/>
      </xdr:nvSpPr>
      <xdr:spPr>
        <a:xfrm>
          <a:off x="1250951" y="1060450"/>
          <a:ext cx="1073149"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latin typeface="Aptos" panose="020B0004020202020204" pitchFamily="34" charset="0"/>
            </a:rPr>
            <a:t>No.</a:t>
          </a:r>
          <a:r>
            <a:rPr lang="en-IN" sz="1000" baseline="0">
              <a:latin typeface="Aptos" panose="020B0004020202020204" pitchFamily="34" charset="0"/>
            </a:rPr>
            <a:t> Of Patients</a:t>
          </a:r>
          <a:endParaRPr lang="en-IN" sz="1000">
            <a:latin typeface="Aptos" panose="020B0004020202020204" pitchFamily="34" charset="0"/>
          </a:endParaRPr>
        </a:p>
      </xdr:txBody>
    </xdr:sp>
    <xdr:clientData/>
  </xdr:twoCellAnchor>
  <xdr:twoCellAnchor>
    <xdr:from>
      <xdr:col>4</xdr:col>
      <xdr:colOff>311150</xdr:colOff>
      <xdr:row>4</xdr:row>
      <xdr:rowOff>158750</xdr:rowOff>
    </xdr:from>
    <xdr:to>
      <xdr:col>5</xdr:col>
      <xdr:colOff>298450</xdr:colOff>
      <xdr:row>5</xdr:row>
      <xdr:rowOff>175548</xdr:rowOff>
    </xdr:to>
    <xdr:sp macro="" textlink="'Pivot Report'!A9">
      <xdr:nvSpPr>
        <xdr:cNvPr id="24" name="TextBox 23">
          <a:extLst>
            <a:ext uri="{FF2B5EF4-FFF2-40B4-BE49-F238E27FC236}">
              <a16:creationId xmlns:a16="http://schemas.microsoft.com/office/drawing/2014/main" id="{E460A62B-FF96-74C6-C5AC-B88A9B28BC62}"/>
            </a:ext>
          </a:extLst>
        </xdr:cNvPr>
        <xdr:cNvSpPr txBox="1"/>
      </xdr:nvSpPr>
      <xdr:spPr>
        <a:xfrm>
          <a:off x="2819400" y="895350"/>
          <a:ext cx="596900" cy="200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06781E3-FDF7-4E4E-94BD-9F15CA94DCDC}" type="TxLink">
            <a:rPr lang="en-US" sz="1100" b="0" i="0" u="none" strike="noStrike">
              <a:solidFill>
                <a:srgbClr val="000000"/>
              </a:solidFill>
              <a:latin typeface="Aptos Narrow"/>
            </a:rPr>
            <a:pPr/>
            <a:t>36.32</a:t>
          </a:fld>
          <a:endParaRPr lang="en-US" sz="1100"/>
        </a:p>
      </xdr:txBody>
    </xdr:sp>
    <xdr:clientData/>
  </xdr:twoCellAnchor>
  <xdr:twoCellAnchor>
    <xdr:from>
      <xdr:col>4</xdr:col>
      <xdr:colOff>266700</xdr:colOff>
      <xdr:row>5</xdr:row>
      <xdr:rowOff>133350</xdr:rowOff>
    </xdr:from>
    <xdr:to>
      <xdr:col>6</xdr:col>
      <xdr:colOff>203200</xdr:colOff>
      <xdr:row>6</xdr:row>
      <xdr:rowOff>152400</xdr:rowOff>
    </xdr:to>
    <xdr:sp macro="" textlink="">
      <xdr:nvSpPr>
        <xdr:cNvPr id="25" name="TextBox 24">
          <a:extLst>
            <a:ext uri="{FF2B5EF4-FFF2-40B4-BE49-F238E27FC236}">
              <a16:creationId xmlns:a16="http://schemas.microsoft.com/office/drawing/2014/main" id="{1F5CADFC-C4C3-BA05-4ADA-EBDD7BEF06AF}"/>
            </a:ext>
          </a:extLst>
        </xdr:cNvPr>
        <xdr:cNvSpPr txBox="1"/>
      </xdr:nvSpPr>
      <xdr:spPr>
        <a:xfrm>
          <a:off x="2774950" y="1054100"/>
          <a:ext cx="1155700" cy="20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latin typeface="Aptos" panose="020B0004020202020204" pitchFamily="34" charset="0"/>
            </a:rPr>
            <a:t>Average</a:t>
          </a:r>
          <a:r>
            <a:rPr lang="en-IN" sz="1000" baseline="0"/>
            <a:t> Wait Time</a:t>
          </a:r>
          <a:endParaRPr lang="en-IN" sz="1000"/>
        </a:p>
      </xdr:txBody>
    </xdr:sp>
    <xdr:clientData/>
  </xdr:twoCellAnchor>
  <xdr:twoCellAnchor editAs="oneCell">
    <xdr:from>
      <xdr:col>0</xdr:col>
      <xdr:colOff>260412</xdr:colOff>
      <xdr:row>5</xdr:row>
      <xdr:rowOff>139449</xdr:rowOff>
    </xdr:from>
    <xdr:to>
      <xdr:col>1</xdr:col>
      <xdr:colOff>362262</xdr:colOff>
      <xdr:row>18</xdr:row>
      <xdr:rowOff>56899</xdr:rowOff>
    </xdr:to>
    <mc:AlternateContent xmlns:mc="http://schemas.openxmlformats.org/markup-compatibility/2006" xmlns:a14="http://schemas.microsoft.com/office/drawing/2010/main">
      <mc:Choice Requires="a14">
        <xdr:graphicFrame macro="">
          <xdr:nvGraphicFramePr>
            <xdr:cNvPr id="36" name="Date (Month) 1">
              <a:extLst>
                <a:ext uri="{FF2B5EF4-FFF2-40B4-BE49-F238E27FC236}">
                  <a16:creationId xmlns:a16="http://schemas.microsoft.com/office/drawing/2014/main" id="{30ACFD77-9BBC-489C-BCA1-16556DBEA9EC}"/>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260412" y="1051083"/>
              <a:ext cx="711701" cy="22876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571500</xdr:colOff>
      <xdr:row>4</xdr:row>
      <xdr:rowOff>152400</xdr:rowOff>
    </xdr:from>
    <xdr:to>
      <xdr:col>7</xdr:col>
      <xdr:colOff>533400</xdr:colOff>
      <xdr:row>6</xdr:row>
      <xdr:rowOff>6350</xdr:rowOff>
    </xdr:to>
    <xdr:sp macro="" textlink="'Pivot Report'!A13">
      <xdr:nvSpPr>
        <xdr:cNvPr id="26" name="TextBox 25">
          <a:extLst>
            <a:ext uri="{FF2B5EF4-FFF2-40B4-BE49-F238E27FC236}">
              <a16:creationId xmlns:a16="http://schemas.microsoft.com/office/drawing/2014/main" id="{569B3C13-606B-BAFC-4B07-121ACA0698DF}"/>
            </a:ext>
          </a:extLst>
        </xdr:cNvPr>
        <xdr:cNvSpPr txBox="1"/>
      </xdr:nvSpPr>
      <xdr:spPr>
        <a:xfrm>
          <a:off x="4298950" y="889000"/>
          <a:ext cx="571500"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94B4DB9-A289-4A81-9FBC-FFF14DD505E6}" type="TxLink">
            <a:rPr lang="en-US" sz="1100" b="0" i="0" u="none" strike="noStrike">
              <a:solidFill>
                <a:srgbClr val="000000"/>
              </a:solidFill>
              <a:latin typeface="Aptos Narrow"/>
            </a:rPr>
            <a:pPr/>
            <a:t>4.96</a:t>
          </a:fld>
          <a:endParaRPr lang="en-US" sz="1100">
            <a:solidFill>
              <a:schemeClr val="dk1"/>
            </a:solidFill>
          </a:endParaRPr>
        </a:p>
      </xdr:txBody>
    </xdr:sp>
    <xdr:clientData/>
  </xdr:twoCellAnchor>
  <xdr:twoCellAnchor>
    <xdr:from>
      <xdr:col>6</xdr:col>
      <xdr:colOff>533400</xdr:colOff>
      <xdr:row>5</xdr:row>
      <xdr:rowOff>107950</xdr:rowOff>
    </xdr:from>
    <xdr:to>
      <xdr:col>8</xdr:col>
      <xdr:colOff>539750</xdr:colOff>
      <xdr:row>6</xdr:row>
      <xdr:rowOff>133350</xdr:rowOff>
    </xdr:to>
    <xdr:sp macro="" textlink="">
      <xdr:nvSpPr>
        <xdr:cNvPr id="27" name="TextBox 26">
          <a:extLst>
            <a:ext uri="{FF2B5EF4-FFF2-40B4-BE49-F238E27FC236}">
              <a16:creationId xmlns:a16="http://schemas.microsoft.com/office/drawing/2014/main" id="{2A194297-1A10-03DF-7EAA-C1BE84446EFC}"/>
            </a:ext>
          </a:extLst>
        </xdr:cNvPr>
        <xdr:cNvSpPr txBox="1"/>
      </xdr:nvSpPr>
      <xdr:spPr>
        <a:xfrm>
          <a:off x="4260850" y="1028700"/>
          <a:ext cx="12255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solidFill>
                <a:schemeClr val="dk1"/>
              </a:solidFill>
              <a:latin typeface="Aptos" panose="020B0004020202020204" pitchFamily="34" charset="0"/>
            </a:rPr>
            <a:t>Satisfaction</a:t>
          </a:r>
          <a:r>
            <a:rPr lang="en-IN" sz="1100" baseline="0">
              <a:solidFill>
                <a:schemeClr val="dk1"/>
              </a:solidFill>
            </a:rPr>
            <a:t> Score</a:t>
          </a:r>
          <a:endParaRPr lang="en-IN" sz="1100">
            <a:solidFill>
              <a:schemeClr val="dk1"/>
            </a:solidFill>
          </a:endParaRPr>
        </a:p>
      </xdr:txBody>
    </xdr:sp>
    <xdr:clientData/>
  </xdr:twoCellAnchor>
  <xdr:twoCellAnchor editAs="oneCell">
    <xdr:from>
      <xdr:col>3</xdr:col>
      <xdr:colOff>349250</xdr:colOff>
      <xdr:row>4</xdr:row>
      <xdr:rowOff>152400</xdr:rowOff>
    </xdr:from>
    <xdr:to>
      <xdr:col>4</xdr:col>
      <xdr:colOff>69850</xdr:colOff>
      <xdr:row>6</xdr:row>
      <xdr:rowOff>114300</xdr:rowOff>
    </xdr:to>
    <xdr:pic>
      <xdr:nvPicPr>
        <xdr:cNvPr id="29" name="Graphic 28" descr="Male profile with solid fill">
          <a:extLst>
            <a:ext uri="{FF2B5EF4-FFF2-40B4-BE49-F238E27FC236}">
              <a16:creationId xmlns:a16="http://schemas.microsoft.com/office/drawing/2014/main" id="{B0937DB2-D34B-50EF-F095-250E5F114EAF}"/>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247900" y="889000"/>
          <a:ext cx="330200" cy="330200"/>
        </a:xfrm>
        <a:prstGeom prst="rect">
          <a:avLst/>
        </a:prstGeom>
      </xdr:spPr>
    </xdr:pic>
    <xdr:clientData/>
  </xdr:twoCellAnchor>
  <xdr:twoCellAnchor editAs="oneCell">
    <xdr:from>
      <xdr:col>8</xdr:col>
      <xdr:colOff>400050</xdr:colOff>
      <xdr:row>4</xdr:row>
      <xdr:rowOff>177800</xdr:rowOff>
    </xdr:from>
    <xdr:to>
      <xdr:col>9</xdr:col>
      <xdr:colOff>44450</xdr:colOff>
      <xdr:row>6</xdr:row>
      <xdr:rowOff>114300</xdr:rowOff>
    </xdr:to>
    <xdr:pic>
      <xdr:nvPicPr>
        <xdr:cNvPr id="31" name="Graphic 30" descr="Customer review with solid fill">
          <a:extLst>
            <a:ext uri="{FF2B5EF4-FFF2-40B4-BE49-F238E27FC236}">
              <a16:creationId xmlns:a16="http://schemas.microsoft.com/office/drawing/2014/main" id="{00EAA6A8-0CE5-F53A-C7AB-87DB1E3C9D1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346700" y="914400"/>
          <a:ext cx="254000" cy="304800"/>
        </a:xfrm>
        <a:prstGeom prst="rect">
          <a:avLst/>
        </a:prstGeom>
      </xdr:spPr>
    </xdr:pic>
    <xdr:clientData/>
  </xdr:twoCellAnchor>
  <xdr:twoCellAnchor editAs="oneCell">
    <xdr:from>
      <xdr:col>6</xdr:col>
      <xdr:colOff>77750</xdr:colOff>
      <xdr:row>4</xdr:row>
      <xdr:rowOff>179350</xdr:rowOff>
    </xdr:from>
    <xdr:to>
      <xdr:col>6</xdr:col>
      <xdr:colOff>400050</xdr:colOff>
      <xdr:row>6</xdr:row>
      <xdr:rowOff>76200</xdr:rowOff>
    </xdr:to>
    <xdr:pic>
      <xdr:nvPicPr>
        <xdr:cNvPr id="35" name="Graphic 34" descr="Hourglass Finished with solid fill">
          <a:extLst>
            <a:ext uri="{FF2B5EF4-FFF2-40B4-BE49-F238E27FC236}">
              <a16:creationId xmlns:a16="http://schemas.microsoft.com/office/drawing/2014/main" id="{5453137D-3D65-8C05-76E0-30AC0C8762A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805200" y="915950"/>
          <a:ext cx="322300" cy="265150"/>
        </a:xfrm>
        <a:prstGeom prst="rect">
          <a:avLst/>
        </a:prstGeom>
      </xdr:spPr>
    </xdr:pic>
    <xdr:clientData/>
  </xdr:twoCellAnchor>
  <xdr:twoCellAnchor>
    <xdr:from>
      <xdr:col>1</xdr:col>
      <xdr:colOff>355600</xdr:colOff>
      <xdr:row>5</xdr:row>
      <xdr:rowOff>19050</xdr:rowOff>
    </xdr:from>
    <xdr:to>
      <xdr:col>4</xdr:col>
      <xdr:colOff>266700</xdr:colOff>
      <xdr:row>9</xdr:row>
      <xdr:rowOff>57150</xdr:rowOff>
    </xdr:to>
    <xdr:graphicFrame macro="">
      <xdr:nvGraphicFramePr>
        <xdr:cNvPr id="19" name="Chart 18">
          <a:hlinkClick xmlns:r="http://schemas.openxmlformats.org/officeDocument/2006/relationships" r:id="rId8"/>
          <a:extLst>
            <a:ext uri="{FF2B5EF4-FFF2-40B4-BE49-F238E27FC236}">
              <a16:creationId xmlns:a16="http://schemas.microsoft.com/office/drawing/2014/main" id="{4FB068A0-4D00-4ABE-A99F-C2C99D9192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254000</xdr:colOff>
      <xdr:row>6</xdr:row>
      <xdr:rowOff>139700</xdr:rowOff>
    </xdr:from>
    <xdr:to>
      <xdr:col>6</xdr:col>
      <xdr:colOff>412750</xdr:colOff>
      <xdr:row>9</xdr:row>
      <xdr:rowOff>95250</xdr:rowOff>
    </xdr:to>
    <xdr:graphicFrame macro="">
      <xdr:nvGraphicFramePr>
        <xdr:cNvPr id="15" name="Chart 14">
          <a:hlinkClick xmlns:r="http://schemas.openxmlformats.org/officeDocument/2006/relationships" r:id="rId10"/>
          <a:extLst>
            <a:ext uri="{FF2B5EF4-FFF2-40B4-BE49-F238E27FC236}">
              <a16:creationId xmlns:a16="http://schemas.microsoft.com/office/drawing/2014/main" id="{6B087B5E-ED81-4551-B1B2-BA72D989A7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558800</xdr:colOff>
      <xdr:row>6</xdr:row>
      <xdr:rowOff>82549</xdr:rowOff>
    </xdr:from>
    <xdr:to>
      <xdr:col>9</xdr:col>
      <xdr:colOff>107950</xdr:colOff>
      <xdr:row>8</xdr:row>
      <xdr:rowOff>182600</xdr:rowOff>
    </xdr:to>
    <xdr:graphicFrame macro="">
      <xdr:nvGraphicFramePr>
        <xdr:cNvPr id="20" name="Chart 19">
          <a:hlinkClick xmlns:r="http://schemas.openxmlformats.org/officeDocument/2006/relationships" r:id="rId12"/>
          <a:extLst>
            <a:ext uri="{FF2B5EF4-FFF2-40B4-BE49-F238E27FC236}">
              <a16:creationId xmlns:a16="http://schemas.microsoft.com/office/drawing/2014/main" id="{F4E95A70-3711-4897-8AB2-CDFD42CAB1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603061</xdr:colOff>
          <xdr:row>9</xdr:row>
          <xdr:rowOff>56899</xdr:rowOff>
        </xdr:from>
        <xdr:to>
          <xdr:col>9</xdr:col>
          <xdr:colOff>152211</xdr:colOff>
          <xdr:row>13</xdr:row>
          <xdr:rowOff>63249</xdr:rowOff>
        </xdr:to>
        <xdr:pic>
          <xdr:nvPicPr>
            <xdr:cNvPr id="57" name="Picture 56">
              <a:extLst>
                <a:ext uri="{FF2B5EF4-FFF2-40B4-BE49-F238E27FC236}">
                  <a16:creationId xmlns:a16="http://schemas.microsoft.com/office/drawing/2014/main" id="{74FCDFD1-614B-C872-6994-D699823476EF}"/>
                </a:ext>
              </a:extLst>
            </xdr:cNvPr>
            <xdr:cNvPicPr>
              <a:picLocks noChangeAspect="1" noChangeArrowheads="1"/>
              <a:extLst>
                <a:ext uri="{84589F7E-364E-4C9E-8A38-B11213B215E9}">
                  <a14:cameraTool cellRange="'Pivot Report'!$A$91:$D$93" spid="_x0000_s2227"/>
                </a:ext>
              </a:extLst>
            </xdr:cNvPicPr>
          </xdr:nvPicPr>
          <xdr:blipFill>
            <a:blip xmlns:r="http://schemas.openxmlformats.org/officeDocument/2006/relationships" r:embed="rId14"/>
            <a:srcRect/>
            <a:stretch>
              <a:fillRect/>
            </a:stretch>
          </xdr:blipFill>
          <xdr:spPr bwMode="auto">
            <a:xfrm>
              <a:off x="1212912" y="1697840"/>
              <a:ext cx="4497121" cy="735657"/>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1</xdr:col>
      <xdr:colOff>603250</xdr:colOff>
      <xdr:row>11</xdr:row>
      <xdr:rowOff>146050</xdr:rowOff>
    </xdr:from>
    <xdr:to>
      <xdr:col>9</xdr:col>
      <xdr:colOff>152400</xdr:colOff>
      <xdr:row>21</xdr:row>
      <xdr:rowOff>50800</xdr:rowOff>
    </xdr:to>
    <xdr:graphicFrame macro="">
      <xdr:nvGraphicFramePr>
        <xdr:cNvPr id="58" name="Chart 57">
          <a:extLst>
            <a:ext uri="{FF2B5EF4-FFF2-40B4-BE49-F238E27FC236}">
              <a16:creationId xmlns:a16="http://schemas.microsoft.com/office/drawing/2014/main" id="{7F506DBD-BA63-41AE-8FCE-2DA31B4215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xdr:col>
      <xdr:colOff>228600</xdr:colOff>
      <xdr:row>18</xdr:row>
      <xdr:rowOff>31750</xdr:rowOff>
    </xdr:from>
    <xdr:to>
      <xdr:col>6</xdr:col>
      <xdr:colOff>323850</xdr:colOff>
      <xdr:row>19</xdr:row>
      <xdr:rowOff>25400</xdr:rowOff>
    </xdr:to>
    <xdr:sp macro="" textlink="">
      <xdr:nvSpPr>
        <xdr:cNvPr id="2075" name="Text Box 27">
          <a:extLst>
            <a:ext uri="{FF2B5EF4-FFF2-40B4-BE49-F238E27FC236}">
              <a16:creationId xmlns:a16="http://schemas.microsoft.com/office/drawing/2014/main" id="{1DAC0C07-434B-9EDB-8721-CE7D96589A8D}"/>
            </a:ext>
          </a:extLst>
        </xdr:cNvPr>
        <xdr:cNvSpPr txBox="1">
          <a:spLocks noChangeArrowheads="1"/>
        </xdr:cNvSpPr>
      </xdr:nvSpPr>
      <xdr:spPr bwMode="auto">
        <a:xfrm>
          <a:off x="2736850" y="3346450"/>
          <a:ext cx="1314450" cy="177800"/>
        </a:xfrm>
        <a:prstGeom prst="rect">
          <a:avLst/>
        </a:prstGeom>
        <a:noFill/>
        <a:ln w="9525">
          <a:noFill/>
          <a:miter lim="800000"/>
          <a:headEnd/>
          <a:tailEnd/>
        </a:ln>
      </xdr:spPr>
      <xdr:txBody>
        <a:bodyPr vertOverflow="clip" wrap="square" lIns="36576" tIns="36576" rIns="0" bIns="0" anchor="t" upright="1"/>
        <a:lstStyle/>
        <a:p>
          <a:pPr algn="ctr" rtl="0">
            <a:defRPr sz="1000"/>
          </a:pPr>
          <a:r>
            <a:rPr lang="en-IN" sz="1000" b="1" i="0" u="none" strike="noStrike" baseline="0">
              <a:solidFill>
                <a:srgbClr val="000000"/>
              </a:solidFill>
              <a:latin typeface="Aptos Narrow"/>
            </a:rPr>
            <a:t>No. of </a:t>
          </a:r>
          <a:r>
            <a:rPr lang="en-IN" sz="800" b="1" i="0" u="none" strike="noStrike" baseline="0">
              <a:solidFill>
                <a:srgbClr val="000000"/>
              </a:solidFill>
              <a:latin typeface="Aptos" panose="020B0004020202020204" pitchFamily="34" charset="0"/>
            </a:rPr>
            <a:t>Patient by Age group</a:t>
          </a:r>
        </a:p>
      </xdr:txBody>
    </xdr:sp>
    <xdr:clientData/>
  </xdr:twoCellAnchor>
  <xdr:twoCellAnchor>
    <xdr:from>
      <xdr:col>9</xdr:col>
      <xdr:colOff>254000</xdr:colOff>
      <xdr:row>0</xdr:row>
      <xdr:rowOff>139700</xdr:rowOff>
    </xdr:from>
    <xdr:to>
      <xdr:col>12</xdr:col>
      <xdr:colOff>374650</xdr:colOff>
      <xdr:row>7</xdr:row>
      <xdr:rowOff>114300</xdr:rowOff>
    </xdr:to>
    <xdr:graphicFrame macro="">
      <xdr:nvGraphicFramePr>
        <xdr:cNvPr id="59" name="Chart 58">
          <a:extLst>
            <a:ext uri="{FF2B5EF4-FFF2-40B4-BE49-F238E27FC236}">
              <a16:creationId xmlns:a16="http://schemas.microsoft.com/office/drawing/2014/main" id="{F3656EC4-6770-489A-8944-F2ABCA0557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9</xdr:col>
      <xdr:colOff>546100</xdr:colOff>
      <xdr:row>7</xdr:row>
      <xdr:rowOff>95250</xdr:rowOff>
    </xdr:from>
    <xdr:to>
      <xdr:col>11</xdr:col>
      <xdr:colOff>495300</xdr:colOff>
      <xdr:row>8</xdr:row>
      <xdr:rowOff>107950</xdr:rowOff>
    </xdr:to>
    <xdr:sp macro="" textlink="">
      <xdr:nvSpPr>
        <xdr:cNvPr id="60" name="TextBox 59">
          <a:extLst>
            <a:ext uri="{FF2B5EF4-FFF2-40B4-BE49-F238E27FC236}">
              <a16:creationId xmlns:a16="http://schemas.microsoft.com/office/drawing/2014/main" id="{DF2966CE-7B87-5F77-C3FD-83D5F874DDC8}"/>
            </a:ext>
          </a:extLst>
        </xdr:cNvPr>
        <xdr:cNvSpPr txBox="1"/>
      </xdr:nvSpPr>
      <xdr:spPr>
        <a:xfrm>
          <a:off x="6102350" y="1384300"/>
          <a:ext cx="1168400" cy="196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800" b="1">
              <a:latin typeface="Aptos" panose="020B0004020202020204" pitchFamily="34" charset="0"/>
            </a:rPr>
            <a:t>Patient Attend </a:t>
          </a:r>
          <a:r>
            <a:rPr lang="en-IN" sz="800" b="1">
              <a:solidFill>
                <a:schemeClr val="dk1"/>
              </a:solidFill>
              <a:latin typeface="Aptos" panose="020B0004020202020204" pitchFamily="34" charset="0"/>
            </a:rPr>
            <a:t>Status</a:t>
          </a:r>
        </a:p>
      </xdr:txBody>
    </xdr:sp>
    <xdr:clientData/>
  </xdr:twoCellAnchor>
  <xdr:twoCellAnchor>
    <xdr:from>
      <xdr:col>12</xdr:col>
      <xdr:colOff>25400</xdr:colOff>
      <xdr:row>0</xdr:row>
      <xdr:rowOff>101600</xdr:rowOff>
    </xdr:from>
    <xdr:to>
      <xdr:col>15</xdr:col>
      <xdr:colOff>400050</xdr:colOff>
      <xdr:row>7</xdr:row>
      <xdr:rowOff>158750</xdr:rowOff>
    </xdr:to>
    <xdr:graphicFrame macro="">
      <xdr:nvGraphicFramePr>
        <xdr:cNvPr id="61" name="Chart 60">
          <a:extLst>
            <a:ext uri="{FF2B5EF4-FFF2-40B4-BE49-F238E27FC236}">
              <a16:creationId xmlns:a16="http://schemas.microsoft.com/office/drawing/2014/main" id="{AD2ABC71-6412-48D2-AE82-3DC4B501EC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12</xdr:col>
      <xdr:colOff>419100</xdr:colOff>
      <xdr:row>7</xdr:row>
      <xdr:rowOff>114300</xdr:rowOff>
    </xdr:from>
    <xdr:to>
      <xdr:col>14</xdr:col>
      <xdr:colOff>406400</xdr:colOff>
      <xdr:row>8</xdr:row>
      <xdr:rowOff>95250</xdr:rowOff>
    </xdr:to>
    <xdr:sp macro="" textlink="">
      <xdr:nvSpPr>
        <xdr:cNvPr id="63" name="TextBox 62">
          <a:extLst>
            <a:ext uri="{FF2B5EF4-FFF2-40B4-BE49-F238E27FC236}">
              <a16:creationId xmlns:a16="http://schemas.microsoft.com/office/drawing/2014/main" id="{7F2F8C9F-AFF0-DB7F-ED8B-4FCBFB52BD5F}"/>
            </a:ext>
          </a:extLst>
        </xdr:cNvPr>
        <xdr:cNvSpPr txBox="1"/>
      </xdr:nvSpPr>
      <xdr:spPr>
        <a:xfrm>
          <a:off x="7804150" y="1403350"/>
          <a:ext cx="1206500" cy="165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b="1">
              <a:latin typeface="Aptos" panose="020B0004020202020204" pitchFamily="34" charset="0"/>
            </a:rPr>
            <a:t>Gender Wise Analysis</a:t>
          </a:r>
        </a:p>
      </xdr:txBody>
    </xdr:sp>
    <xdr:clientData/>
  </xdr:twoCellAnchor>
  <xdr:twoCellAnchor>
    <xdr:from>
      <xdr:col>9</xdr:col>
      <xdr:colOff>355600</xdr:colOff>
      <xdr:row>8</xdr:row>
      <xdr:rowOff>31750</xdr:rowOff>
    </xdr:from>
    <xdr:to>
      <xdr:col>15</xdr:col>
      <xdr:colOff>165100</xdr:colOff>
      <xdr:row>17</xdr:row>
      <xdr:rowOff>63500</xdr:rowOff>
    </xdr:to>
    <xdr:graphicFrame macro="">
      <xdr:nvGraphicFramePr>
        <xdr:cNvPr id="12" name="Chart 11">
          <a:extLst>
            <a:ext uri="{FF2B5EF4-FFF2-40B4-BE49-F238E27FC236}">
              <a16:creationId xmlns:a16="http://schemas.microsoft.com/office/drawing/2014/main" id="{9CE8635E-E678-43D2-BA14-BD57F68BC2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10</xdr:col>
      <xdr:colOff>342900</xdr:colOff>
      <xdr:row>17</xdr:row>
      <xdr:rowOff>165100</xdr:rowOff>
    </xdr:from>
    <xdr:to>
      <xdr:col>14</xdr:col>
      <xdr:colOff>260350</xdr:colOff>
      <xdr:row>18</xdr:row>
      <xdr:rowOff>171450</xdr:rowOff>
    </xdr:to>
    <xdr:sp macro="" textlink="">
      <xdr:nvSpPr>
        <xdr:cNvPr id="22" name="TextBox 21">
          <a:extLst>
            <a:ext uri="{FF2B5EF4-FFF2-40B4-BE49-F238E27FC236}">
              <a16:creationId xmlns:a16="http://schemas.microsoft.com/office/drawing/2014/main" id="{EB43A336-A8BD-5C08-8C61-10EFA7ACFDB6}"/>
            </a:ext>
          </a:extLst>
        </xdr:cNvPr>
        <xdr:cNvSpPr txBox="1"/>
      </xdr:nvSpPr>
      <xdr:spPr>
        <a:xfrm>
          <a:off x="6508750" y="3295650"/>
          <a:ext cx="235585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800" b="1">
              <a:latin typeface="Aptos" panose="020B0004020202020204" pitchFamily="34" charset="0"/>
            </a:rPr>
            <a:t>No.</a:t>
          </a:r>
          <a:r>
            <a:rPr lang="en-IN" sz="800" b="1" baseline="0">
              <a:latin typeface="Aptos" panose="020B0004020202020204" pitchFamily="34" charset="0"/>
            </a:rPr>
            <a:t> of Patient by Department Referal</a:t>
          </a:r>
          <a:endParaRPr lang="en-IN" sz="800" b="1">
            <a:latin typeface="Aptos" panose="020B0004020202020204" pitchFamily="34" charset="0"/>
          </a:endParaRPr>
        </a:p>
      </xdr:txBody>
    </xdr:sp>
    <xdr:clientData/>
  </xdr:twoCellAnchor>
  <xdr:twoCellAnchor editAs="oneCell">
    <xdr:from>
      <xdr:col>6</xdr:col>
      <xdr:colOff>533400</xdr:colOff>
      <xdr:row>1</xdr:row>
      <xdr:rowOff>38100</xdr:rowOff>
    </xdr:from>
    <xdr:to>
      <xdr:col>9</xdr:col>
      <xdr:colOff>82550</xdr:colOff>
      <xdr:row>3</xdr:row>
      <xdr:rowOff>101600</xdr:rowOff>
    </xdr:to>
    <mc:AlternateContent xmlns:mc="http://schemas.openxmlformats.org/markup-compatibility/2006" xmlns:a14="http://schemas.microsoft.com/office/drawing/2010/main">
      <mc:Choice Requires="a14">
        <xdr:graphicFrame macro="">
          <xdr:nvGraphicFramePr>
            <xdr:cNvPr id="17" name="Date (Year)">
              <a:extLst>
                <a:ext uri="{FF2B5EF4-FFF2-40B4-BE49-F238E27FC236}">
                  <a16:creationId xmlns:a16="http://schemas.microsoft.com/office/drawing/2014/main" id="{BA7B0984-FF47-4140-9D5C-A1064CA77F6B}"/>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4261667" y="220427"/>
              <a:ext cx="1378705" cy="4281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120898</xdr:colOff>
      <xdr:row>0</xdr:row>
      <xdr:rowOff>124509</xdr:rowOff>
    </xdr:from>
    <xdr:to>
      <xdr:col>17</xdr:col>
      <xdr:colOff>80931</xdr:colOff>
      <xdr:row>17</xdr:row>
      <xdr:rowOff>130734</xdr:rowOff>
    </xdr:to>
    <xdr:graphicFrame macro="">
      <xdr:nvGraphicFramePr>
        <xdr:cNvPr id="2" name="Chart 1">
          <a:extLst>
            <a:ext uri="{FF2B5EF4-FFF2-40B4-BE49-F238E27FC236}">
              <a16:creationId xmlns:a16="http://schemas.microsoft.com/office/drawing/2014/main" id="{1D0BA106-6A83-4E2E-B49A-C4BD77C805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17</xdr:row>
      <xdr:rowOff>136961</xdr:rowOff>
    </xdr:from>
    <xdr:to>
      <xdr:col>12</xdr:col>
      <xdr:colOff>466912</xdr:colOff>
      <xdr:row>18</xdr:row>
      <xdr:rowOff>180539</xdr:rowOff>
    </xdr:to>
    <xdr:sp macro="" textlink="">
      <xdr:nvSpPr>
        <xdr:cNvPr id="3" name="TextBox 2">
          <a:extLst>
            <a:ext uri="{FF2B5EF4-FFF2-40B4-BE49-F238E27FC236}">
              <a16:creationId xmlns:a16="http://schemas.microsoft.com/office/drawing/2014/main" id="{ECD1179F-DBDC-FB9C-1355-787508F7FF37}"/>
            </a:ext>
          </a:extLst>
        </xdr:cNvPr>
        <xdr:cNvSpPr txBox="1"/>
      </xdr:nvSpPr>
      <xdr:spPr>
        <a:xfrm>
          <a:off x="2440392" y="3311961"/>
          <a:ext cx="5347696" cy="230343"/>
        </a:xfrm>
        <a:prstGeom prst="rect">
          <a:avLst/>
        </a:prstGeom>
        <a:solidFill>
          <a:schemeClr val="bg2"/>
        </a:solidFill>
        <a:ln>
          <a:noFill/>
        </a:ln>
      </xdr:spPr>
      <xdr:style>
        <a:lnRef idx="2">
          <a:schemeClr val="accent4"/>
        </a:lnRef>
        <a:fillRef idx="1">
          <a:schemeClr val="lt1"/>
        </a:fillRef>
        <a:effectRef idx="0">
          <a:schemeClr val="accent4"/>
        </a:effectRef>
        <a:fontRef idx="minor">
          <a:schemeClr val="dk1"/>
        </a:fontRef>
      </xdr:style>
      <xdr:txBody>
        <a:bodyPr vertOverflow="clip" horzOverflow="clip" wrap="square" rtlCol="0" anchor="t"/>
        <a:lstStyle/>
        <a:p>
          <a:pPr algn="ctr"/>
          <a:r>
            <a:rPr lang="en-IN" sz="1100" b="0"/>
            <a:t>-</a:t>
          </a:r>
          <a:r>
            <a:rPr lang="en-IN" sz="1100" b="0">
              <a:latin typeface="Aptos Narrow" panose="020B0004020202020204" pitchFamily="34" charset="0"/>
            </a:rPr>
            <a:t>Showing</a:t>
          </a:r>
          <a:r>
            <a:rPr lang="en-IN" sz="1100" b="0" baseline="0">
              <a:latin typeface="Aptos Narrow" panose="020B0004020202020204" pitchFamily="34" charset="0"/>
            </a:rPr>
            <a:t> a daily trend with an area </a:t>
          </a:r>
          <a:r>
            <a:rPr lang="en-IN" sz="1000" b="0" baseline="0">
              <a:latin typeface="Aptos" panose="020B0004020202020204" pitchFamily="34" charset="0"/>
            </a:rPr>
            <a:t>chart</a:t>
          </a:r>
          <a:r>
            <a:rPr lang="en-IN" sz="1100" b="0" baseline="0">
              <a:latin typeface="Aptos Narrow" panose="020B0004020202020204" pitchFamily="34" charset="0"/>
            </a:rPr>
            <a:t> to spot patterns like busy days or seasonal trends.</a:t>
          </a:r>
          <a:endParaRPr lang="en-IN" sz="1100" b="0">
            <a:latin typeface="Aptos Narrow" panose="020B0004020202020204" pitchFamily="34" charset="0"/>
          </a:endParaRPr>
        </a:p>
      </xdr:txBody>
    </xdr:sp>
    <xdr:clientData/>
  </xdr:twoCellAnchor>
  <xdr:twoCellAnchor editAs="oneCell">
    <xdr:from>
      <xdr:col>0</xdr:col>
      <xdr:colOff>155639</xdr:colOff>
      <xdr:row>1</xdr:row>
      <xdr:rowOff>37353</xdr:rowOff>
    </xdr:from>
    <xdr:to>
      <xdr:col>0</xdr:col>
      <xdr:colOff>535393</xdr:colOff>
      <xdr:row>3</xdr:row>
      <xdr:rowOff>43578</xdr:rowOff>
    </xdr:to>
    <xdr:pic>
      <xdr:nvPicPr>
        <xdr:cNvPr id="5" name="Graphic 4" descr="Home with solid fill">
          <a:hlinkClick xmlns:r="http://schemas.openxmlformats.org/officeDocument/2006/relationships" r:id="rId2"/>
          <a:extLst>
            <a:ext uri="{FF2B5EF4-FFF2-40B4-BE49-F238E27FC236}">
              <a16:creationId xmlns:a16="http://schemas.microsoft.com/office/drawing/2014/main" id="{E99B60FF-5D95-6E92-076E-3E6E792A595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55639" y="224118"/>
          <a:ext cx="379754" cy="37975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130735</xdr:colOff>
      <xdr:row>0</xdr:row>
      <xdr:rowOff>165099</xdr:rowOff>
    </xdr:from>
    <xdr:to>
      <xdr:col>17</xdr:col>
      <xdr:colOff>56029</xdr:colOff>
      <xdr:row>17</xdr:row>
      <xdr:rowOff>87156</xdr:rowOff>
    </xdr:to>
    <xdr:graphicFrame macro="">
      <xdr:nvGraphicFramePr>
        <xdr:cNvPr id="2" name="Chart 1">
          <a:extLst>
            <a:ext uri="{FF2B5EF4-FFF2-40B4-BE49-F238E27FC236}">
              <a16:creationId xmlns:a16="http://schemas.microsoft.com/office/drawing/2014/main" id="{F1584960-CEAD-4274-8099-78209521C3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481728</xdr:colOff>
      <xdr:row>17</xdr:row>
      <xdr:rowOff>99608</xdr:rowOff>
    </xdr:from>
    <xdr:to>
      <xdr:col>14</xdr:col>
      <xdr:colOff>516716</xdr:colOff>
      <xdr:row>18</xdr:row>
      <xdr:rowOff>130735</xdr:rowOff>
    </xdr:to>
    <xdr:sp macro="" textlink="">
      <xdr:nvSpPr>
        <xdr:cNvPr id="3" name="TextBox 2">
          <a:extLst>
            <a:ext uri="{FF2B5EF4-FFF2-40B4-BE49-F238E27FC236}">
              <a16:creationId xmlns:a16="http://schemas.microsoft.com/office/drawing/2014/main" id="{AA15F77A-5141-3575-89A6-6A7BE1C77061}"/>
            </a:ext>
          </a:extLst>
        </xdr:cNvPr>
        <xdr:cNvSpPr txBox="1"/>
      </xdr:nvSpPr>
      <xdr:spPr>
        <a:xfrm>
          <a:off x="481728" y="3274608"/>
          <a:ext cx="8626164" cy="217892"/>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t>-Use an area chart</a:t>
          </a:r>
          <a:r>
            <a:rPr lang="en-IN" sz="1100" baseline="0"/>
            <a:t> </a:t>
          </a:r>
          <a:r>
            <a:rPr lang="en-IN" sz="1100"/>
            <a:t>to track</a:t>
          </a:r>
          <a:r>
            <a:rPr lang="en-IN" sz="1100" baseline="0"/>
            <a:t> daily changes  and </a:t>
          </a:r>
          <a:r>
            <a:rPr lang="en-IN" sz="1000" baseline="0">
              <a:latin typeface="Aptos" panose="020B0004020202020204" pitchFamily="34" charset="0"/>
            </a:rPr>
            <a:t>highlight</a:t>
          </a:r>
          <a:r>
            <a:rPr lang="en-IN" sz="1100" baseline="0"/>
            <a:t> days with longer wait times that might need improvements.</a:t>
          </a:r>
          <a:endParaRPr lang="en-IN" sz="1100"/>
        </a:p>
      </xdr:txBody>
    </xdr:sp>
    <xdr:clientData/>
  </xdr:twoCellAnchor>
  <xdr:twoCellAnchor editAs="oneCell">
    <xdr:from>
      <xdr:col>0</xdr:col>
      <xdr:colOff>217892</xdr:colOff>
      <xdr:row>1</xdr:row>
      <xdr:rowOff>12451</xdr:rowOff>
    </xdr:from>
    <xdr:to>
      <xdr:col>0</xdr:col>
      <xdr:colOff>603873</xdr:colOff>
      <xdr:row>3</xdr:row>
      <xdr:rowOff>24903</xdr:rowOff>
    </xdr:to>
    <xdr:pic>
      <xdr:nvPicPr>
        <xdr:cNvPr id="5" name="Graphic 4" descr="Home with solid fill">
          <a:hlinkClick xmlns:r="http://schemas.openxmlformats.org/officeDocument/2006/relationships" r:id="rId2"/>
          <a:extLst>
            <a:ext uri="{FF2B5EF4-FFF2-40B4-BE49-F238E27FC236}">
              <a16:creationId xmlns:a16="http://schemas.microsoft.com/office/drawing/2014/main" id="{D1F1E6CA-F801-EF2C-A5C4-9E8F7E1F67C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17892" y="199216"/>
          <a:ext cx="385981" cy="38598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149410</xdr:colOff>
      <xdr:row>1</xdr:row>
      <xdr:rowOff>18676</xdr:rowOff>
    </xdr:from>
    <xdr:to>
      <xdr:col>17</xdr:col>
      <xdr:colOff>12450</xdr:colOff>
      <xdr:row>17</xdr:row>
      <xdr:rowOff>112059</xdr:rowOff>
    </xdr:to>
    <xdr:graphicFrame macro="">
      <xdr:nvGraphicFramePr>
        <xdr:cNvPr id="5" name="Chart 4">
          <a:extLst>
            <a:ext uri="{FF2B5EF4-FFF2-40B4-BE49-F238E27FC236}">
              <a16:creationId xmlns:a16="http://schemas.microsoft.com/office/drawing/2014/main" id="{667E7C15-B815-42A9-BFE3-88D7D557DF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80930</xdr:colOff>
      <xdr:row>17</xdr:row>
      <xdr:rowOff>87157</xdr:rowOff>
    </xdr:from>
    <xdr:to>
      <xdr:col>13</xdr:col>
      <xdr:colOff>12450</xdr:colOff>
      <xdr:row>19</xdr:row>
      <xdr:rowOff>6226</xdr:rowOff>
    </xdr:to>
    <xdr:sp macro="" textlink="">
      <xdr:nvSpPr>
        <xdr:cNvPr id="3" name="TextBox 2">
          <a:extLst>
            <a:ext uri="{FF2B5EF4-FFF2-40B4-BE49-F238E27FC236}">
              <a16:creationId xmlns:a16="http://schemas.microsoft.com/office/drawing/2014/main" id="{26AEB2E3-0FF4-4BF3-9A00-E61DC1543380}"/>
            </a:ext>
          </a:extLst>
        </xdr:cNvPr>
        <xdr:cNvSpPr txBox="1"/>
      </xdr:nvSpPr>
      <xdr:spPr>
        <a:xfrm>
          <a:off x="1911224" y="3262157"/>
          <a:ext cx="6032501" cy="2925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t>-Use</a:t>
          </a:r>
          <a:r>
            <a:rPr lang="en-IN" sz="1100" baseline="0"/>
            <a:t> an area chart to show trends , spot drops in satisfaction and link them to busy </a:t>
          </a:r>
          <a:r>
            <a:rPr lang="en-IN" sz="1000" baseline="0">
              <a:latin typeface="Aptos" panose="020B0004020202020204" pitchFamily="34" charset="0"/>
            </a:rPr>
            <a:t>times</a:t>
          </a:r>
          <a:r>
            <a:rPr lang="en-IN" sz="1100" baseline="0"/>
            <a:t> or challenges.</a:t>
          </a:r>
          <a:endParaRPr lang="en-IN" sz="1100"/>
        </a:p>
      </xdr:txBody>
    </xdr:sp>
    <xdr:clientData/>
  </xdr:twoCellAnchor>
  <xdr:twoCellAnchor editAs="oneCell">
    <xdr:from>
      <xdr:col>0</xdr:col>
      <xdr:colOff>217892</xdr:colOff>
      <xdr:row>1</xdr:row>
      <xdr:rowOff>12451</xdr:rowOff>
    </xdr:from>
    <xdr:to>
      <xdr:col>0</xdr:col>
      <xdr:colOff>603873</xdr:colOff>
      <xdr:row>3</xdr:row>
      <xdr:rowOff>24903</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4F3A8139-998B-4B28-B533-52A20AC8955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17892" y="196601"/>
          <a:ext cx="385981" cy="38075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11</xdr:col>
      <xdr:colOff>0</xdr:colOff>
      <xdr:row>10</xdr:row>
      <xdr:rowOff>2784</xdr:rowOff>
    </xdr:from>
    <xdr:to>
      <xdr:col>11</xdr:col>
      <xdr:colOff>8700</xdr:colOff>
      <xdr:row>12</xdr:row>
      <xdr:rowOff>8698</xdr:rowOff>
    </xdr:to>
    <xdr:graphicFrame macro="">
      <xdr:nvGraphicFramePr>
        <xdr:cNvPr id="5" name="Chart 4">
          <a:extLst>
            <a:ext uri="{FF2B5EF4-FFF2-40B4-BE49-F238E27FC236}">
              <a16:creationId xmlns:a16="http://schemas.microsoft.com/office/drawing/2014/main" id="{BDEFC443-DB30-CEBB-EFC3-A2013CD924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95685</xdr:colOff>
      <xdr:row>89</xdr:row>
      <xdr:rowOff>52190</xdr:rowOff>
    </xdr:from>
    <xdr:to>
      <xdr:col>3</xdr:col>
      <xdr:colOff>2218151</xdr:colOff>
      <xdr:row>92</xdr:row>
      <xdr:rowOff>269658</xdr:rowOff>
    </xdr:to>
    <xdr:graphicFrame macro="">
      <xdr:nvGraphicFramePr>
        <xdr:cNvPr id="6" name="Chart 5">
          <a:extLst>
            <a:ext uri="{FF2B5EF4-FFF2-40B4-BE49-F238E27FC236}">
              <a16:creationId xmlns:a16="http://schemas.microsoft.com/office/drawing/2014/main" id="{82E9AB4C-1621-893F-ECC8-662EE46B8A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neeza" refreshedDate="45948.792049884258" createdVersion="5" refreshedVersion="8" minRefreshableVersion="3" recordCount="0" supportSubquery="1" supportAdvancedDrill="1" xr:uid="{8480812D-FC6D-44D4-9169-B77C923DCCBC}">
  <cacheSource type="external" connectionId="3"/>
  <cacheFields count="4">
    <cacheField name="[Measures].[Distinct Count of Patient Id]" caption="Distinct Count of Patient Id" numFmtId="0" hierarchy="24" level="32767"/>
    <cacheField name="[Calendar_Table].[Date].[Date]" caption="Date" numFmtId="0" level="1">
      <sharedItems containsSemiMixedTypes="0" containsNonDate="0" containsDate="1" containsString="0" minDate="2023-08-01T00:00:00" maxDate="2024-09-01T00:00:00" count="95">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u="1"/>
        <d v="2024-02-27T00:00:00" u="1"/>
        <d v="2023-08-01T00:00:00" u="1"/>
        <d v="2023-08-02T00:00:00" u="1"/>
        <d v="2023-08-03T00:00:00" u="1"/>
        <d v="2023-08-04T00:00:00" u="1"/>
        <d v="2023-08-05T00:00:00" u="1"/>
        <d v="2023-08-06T00:00:00" u="1"/>
        <d v="2023-08-07T00:00:00" u="1"/>
        <d v="2023-08-08T00:00:00" u="1"/>
        <d v="2023-08-09T00:00:00" u="1"/>
        <d v="2023-08-10T00:00:00" u="1"/>
        <d v="2023-08-11T00:00:00" u="1"/>
        <d v="2023-08-12T00:00:00" u="1"/>
        <d v="2023-08-13T00:00:00" u="1"/>
        <d v="2023-08-14T00:00:00" u="1"/>
        <d v="2023-08-15T00:00:00" u="1"/>
        <d v="2023-08-16T00:00:00" u="1"/>
        <d v="2023-08-17T00:00:00" u="1"/>
        <d v="2023-08-18T00:00:00" u="1"/>
        <d v="2023-08-19T00:00:00" u="1"/>
        <d v="2023-08-20T00:00:00" u="1"/>
        <d v="2023-08-21T00:00:00" u="1"/>
        <d v="2023-08-22T00:00:00" u="1"/>
        <d v="2023-08-23T00:00:00" u="1"/>
        <d v="2023-08-24T00:00:00" u="1"/>
        <d v="2023-08-25T00:00:00" u="1"/>
        <d v="2023-08-26T00:00:00" u="1"/>
        <d v="2023-08-27T00:00:00" u="1"/>
        <d v="2023-08-28T00:00:00" u="1"/>
        <d v="2023-08-29T00:00:00" u="1"/>
        <d v="2023-08-30T00:00:00" u="1"/>
        <d v="2023-08-31T00:00:00" u="1"/>
        <d v="2024-08-01T00:00:00" u="1"/>
        <d v="2024-08-02T00:00:00" u="1"/>
        <d v="2024-08-03T00:00:00" u="1"/>
        <d v="2024-08-04T00:00:00" u="1"/>
        <d v="2024-08-05T00:00:00" u="1"/>
        <d v="2024-08-06T00:00:00" u="1"/>
        <d v="2024-08-07T00:00:00" u="1"/>
        <d v="2024-08-08T00:00:00" u="1"/>
        <d v="2024-08-09T00:00:00" u="1"/>
        <d v="2024-08-10T00:00:00" u="1"/>
        <d v="2024-08-11T00:00:00" u="1"/>
        <d v="2024-08-12T00:00:00" u="1"/>
        <d v="2024-08-13T00:00:00" u="1"/>
        <d v="2024-08-14T00:00:00" u="1"/>
        <d v="2024-08-15T00:00:00" u="1"/>
        <d v="2024-08-16T00:00:00" u="1"/>
        <d v="2024-08-17T00:00:00" u="1"/>
        <d v="2024-08-18T00:00:00" u="1"/>
        <d v="2024-08-19T00:00:00" u="1"/>
        <d v="2024-08-20T00:00:00" u="1"/>
        <d v="2024-08-21T00:00:00" u="1"/>
        <d v="2024-08-22T00:00:00" u="1"/>
        <d v="2024-08-23T00:00:00" u="1"/>
        <d v="2024-08-24T00:00:00" u="1"/>
        <d v="2024-08-25T00:00:00" u="1"/>
        <d v="2024-08-26T00:00:00" u="1"/>
        <d v="2024-08-27T00:00:00" u="1"/>
        <d v="2024-08-28T00:00:00" u="1"/>
        <d v="2024-08-29T00:00:00" u="1"/>
        <d v="2024-08-30T00:00:00" u="1"/>
        <d v="2024-08-31T00:00:00" u="1"/>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8">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Distinct Count of Patient Attend Status]" caption="Distinct 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neeza" refreshedDate="45948.792050694443" createdVersion="5" refreshedVersion="8" minRefreshableVersion="3" recordCount="0" supportSubquery="1" supportAdvancedDrill="1" xr:uid="{5D6CBB26-E47B-4B23-A555-2CB7DCF746A6}">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8">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Distinct Count of Patient Attend Status]" caption="Distinct 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neeza" refreshedDate="45948.792051388889" createdVersion="5" refreshedVersion="8" minRefreshableVersion="3" recordCount="0" supportSubquery="1" supportAdvancedDrill="1" xr:uid="{2DDF5659-142E-4FE3-8AAF-DD69186CF5FC}">
  <cacheSource type="external" connectionId="3"/>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8">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Distinct Count of Patient Attend Status]" caption="Distinct 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neeza" refreshedDate="45948.792052083336" createdVersion="5" refreshedVersion="8" minRefreshableVersion="3" recordCount="0" supportSubquery="1" supportAdvancedDrill="1" xr:uid="{2B815FFB-6639-47B7-B58A-94AA9D6DE5CF}">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8">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Distinct Count of Patient Attend Status]" caption="Distinct 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neeza" refreshedDate="45948.792052893521" createdVersion="5" refreshedVersion="8" minRefreshableVersion="3" recordCount="0" supportSubquery="1" supportAdvancedDrill="1" xr:uid="{A17C3438-E698-4C4B-A822-AB41AAAD7280}">
  <cacheSource type="external" connectionId="3"/>
  <cacheFields count="4">
    <cacheField name="[Calendar_Table].[Date].[Date]" caption="Date" numFmtId="0" level="1">
      <sharedItems containsSemiMixedTypes="0" containsNonDate="0" containsDate="1" containsString="0" minDate="2023-08-01T00:00:00" maxDate="2024-09-01T00:00:00" count="93">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3-08-01T00:00:00" u="1"/>
        <d v="2023-08-02T00:00:00" u="1"/>
        <d v="2023-08-03T00:00:00" u="1"/>
        <d v="2023-08-04T00:00:00" u="1"/>
        <d v="2023-08-05T00:00:00" u="1"/>
        <d v="2023-08-06T00:00:00" u="1"/>
        <d v="2023-08-07T00:00:00" u="1"/>
        <d v="2023-08-08T00:00:00" u="1"/>
        <d v="2023-08-09T00:00:00" u="1"/>
        <d v="2023-08-10T00:00:00" u="1"/>
        <d v="2023-08-11T00:00:00" u="1"/>
        <d v="2023-08-12T00:00:00" u="1"/>
        <d v="2023-08-13T00:00:00" u="1"/>
        <d v="2023-08-14T00:00:00" u="1"/>
        <d v="2023-08-15T00:00:00" u="1"/>
        <d v="2023-08-16T00:00:00" u="1"/>
        <d v="2023-08-17T00:00:00" u="1"/>
        <d v="2023-08-18T00:00:00" u="1"/>
        <d v="2023-08-19T00:00:00" u="1"/>
        <d v="2023-08-20T00:00:00" u="1"/>
        <d v="2023-08-21T00:00:00" u="1"/>
        <d v="2023-08-22T00:00:00" u="1"/>
        <d v="2023-08-23T00:00:00" u="1"/>
        <d v="2023-08-24T00:00:00" u="1"/>
        <d v="2023-08-25T00:00:00" u="1"/>
        <d v="2023-08-26T00:00:00" u="1"/>
        <d v="2023-08-27T00:00:00" u="1"/>
        <d v="2023-08-28T00:00:00" u="1"/>
        <d v="2023-08-29T00:00:00" u="1"/>
        <d v="2023-08-30T00:00:00" u="1"/>
        <d v="2023-08-31T00:00:00" u="1"/>
        <d v="2024-08-01T00:00:00" u="1"/>
        <d v="2024-08-02T00:00:00" u="1"/>
        <d v="2024-08-03T00:00:00" u="1"/>
        <d v="2024-08-04T00:00:00" u="1"/>
        <d v="2024-08-05T00:00:00" u="1"/>
        <d v="2024-08-06T00:00:00" u="1"/>
        <d v="2024-08-07T00:00:00" u="1"/>
        <d v="2024-08-08T00:00:00" u="1"/>
        <d v="2024-08-09T00:00:00" u="1"/>
        <d v="2024-08-10T00:00:00" u="1"/>
        <d v="2024-08-11T00:00:00" u="1"/>
        <d v="2024-08-12T00:00:00" u="1"/>
        <d v="2024-08-13T00:00:00" u="1"/>
        <d v="2024-08-14T00:00:00" u="1"/>
        <d v="2024-08-15T00:00:00" u="1"/>
        <d v="2024-08-16T00:00:00" u="1"/>
        <d v="2024-08-17T00:00:00" u="1"/>
        <d v="2024-08-18T00:00:00" u="1"/>
        <d v="2024-08-19T00:00:00" u="1"/>
        <d v="2024-08-20T00:00:00" u="1"/>
        <d v="2024-08-21T00:00:00" u="1"/>
        <d v="2024-08-22T00:00:00" u="1"/>
        <d v="2024-08-23T00:00:00" u="1"/>
        <d v="2024-08-24T00:00:00" u="1"/>
        <d v="2024-08-25T00:00:00" u="1"/>
        <d v="2024-08-26T00:00:00" u="1"/>
        <d v="2024-08-27T00:00:00" u="1"/>
        <d v="2024-08-28T00:00:00" u="1"/>
        <d v="2024-08-29T00:00:00" u="1"/>
        <d v="2024-08-30T00:00:00" u="1"/>
        <d v="2024-08-31T00:00:00" u="1"/>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8">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0"/>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Distinct Count of Patient Attend Status]" caption="Distinct 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neeza" refreshedDate="45948.792053819445" createdVersion="5" refreshedVersion="8" minRefreshableVersion="3" recordCount="0" supportSubquery="1" supportAdvancedDrill="1" xr:uid="{06BD3AB0-6F73-469A-A65E-F09906ED8B77}">
  <cacheSource type="external" connectionId="3"/>
  <cacheFields count="4">
    <cacheField name="[Calendar_Table].[Date].[Date]" caption="Date" numFmtId="0" level="1">
      <sharedItems containsSemiMixedTypes="0" containsNonDate="0" containsDate="1" containsString="0" minDate="2023-08-01T00:00:00" maxDate="2024-09-01T00:00:00" count="92">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3-08-01T00:00:00" u="1"/>
        <d v="2023-08-02T00:00:00" u="1"/>
        <d v="2023-08-03T00:00:00" u="1"/>
        <d v="2023-08-04T00:00:00" u="1"/>
        <d v="2023-08-05T00:00:00" u="1"/>
        <d v="2023-08-06T00:00:00" u="1"/>
        <d v="2023-08-07T00:00:00" u="1"/>
        <d v="2023-08-08T00:00:00" u="1"/>
        <d v="2023-08-09T00:00:00" u="1"/>
        <d v="2023-08-10T00:00:00" u="1"/>
        <d v="2023-08-11T00:00:00" u="1"/>
        <d v="2023-08-12T00:00:00" u="1"/>
        <d v="2023-08-13T00:00:00" u="1"/>
        <d v="2023-08-14T00:00:00" u="1"/>
        <d v="2023-08-15T00:00:00" u="1"/>
        <d v="2023-08-16T00:00:00" u="1"/>
        <d v="2023-08-17T00:00:00" u="1"/>
        <d v="2023-08-18T00:00:00" u="1"/>
        <d v="2023-08-19T00:00:00" u="1"/>
        <d v="2023-08-20T00:00:00" u="1"/>
        <d v="2023-08-21T00:00:00" u="1"/>
        <d v="2023-08-22T00:00:00" u="1"/>
        <d v="2023-08-23T00:00:00" u="1"/>
        <d v="2023-08-24T00:00:00" u="1"/>
        <d v="2023-08-25T00:00:00" u="1"/>
        <d v="2023-08-26T00:00:00" u="1"/>
        <d v="2023-08-27T00:00:00" u="1"/>
        <d v="2023-08-28T00:00:00" u="1"/>
        <d v="2023-08-29T00:00:00" u="1"/>
        <d v="2023-08-30T00:00:00" u="1"/>
        <d v="2023-08-31T00:00:00" u="1"/>
        <d v="2024-08-01T00:00:00" u="1"/>
        <d v="2024-08-02T00:00:00" u="1"/>
        <d v="2024-08-03T00:00:00" u="1"/>
        <d v="2024-08-04T00:00:00" u="1"/>
        <d v="2024-08-05T00:00:00" u="1"/>
        <d v="2024-08-06T00:00:00" u="1"/>
        <d v="2024-08-08T00:00:00" u="1"/>
        <d v="2024-08-09T00:00:00" u="1"/>
        <d v="2024-08-10T00:00:00" u="1"/>
        <d v="2024-08-11T00:00:00" u="1"/>
        <d v="2024-08-12T00:00:00" u="1"/>
        <d v="2024-08-13T00:00:00" u="1"/>
        <d v="2024-08-14T00:00:00" u="1"/>
        <d v="2024-08-15T00:00:00" u="1"/>
        <d v="2024-08-16T00:00:00" u="1"/>
        <d v="2024-08-17T00:00:00" u="1"/>
        <d v="2024-08-18T00:00:00" u="1"/>
        <d v="2024-08-19T00:00:00" u="1"/>
        <d v="2024-08-20T00:00:00" u="1"/>
        <d v="2024-08-21T00:00:00" u="1"/>
        <d v="2024-08-22T00:00:00" u="1"/>
        <d v="2024-08-23T00:00:00" u="1"/>
        <d v="2024-08-24T00:00:00" u="1"/>
        <d v="2024-08-25T00:00:00" u="1"/>
        <d v="2024-08-26T00:00:00" u="1"/>
        <d v="2024-08-27T00:00:00" u="1"/>
        <d v="2024-08-28T00:00:00" u="1"/>
        <d v="2024-08-29T00:00:00" u="1"/>
        <d v="2024-08-30T00:00:00" u="1"/>
        <d v="2024-08-31T00:00:00" u="1"/>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8">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0"/>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Distinct Count of Patient Attend Status]" caption="Distinct 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neeza" refreshedDate="45948.79205462963" createdVersion="5" refreshedVersion="8" minRefreshableVersion="3" recordCount="0" supportSubquery="1" supportAdvancedDrill="1" xr:uid="{5E6D287B-75E2-4D74-9106-D772BC238239}">
  <cacheSource type="external" connectionId="3"/>
  <cacheFields count="5">
    <cacheField name="[Calendar_Table].[Date (Month)].[Date (Month)]" caption="Date (Month)" numFmtId="0" hierarchy="1"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cacheField>
    <cacheField name="[Calendar_Table].[Date (Year)].[Date (Year)]" caption="Date (Year)" numFmtId="0" hierarchy="3" level="1">
      <sharedItems containsSemiMixedTypes="0" containsNonDate="0" containsString="0"/>
    </cacheField>
    <cacheField name="Unsupported0" numFmtId="0" hierarchy="38" level="32767">
      <extLst>
        <ext xmlns:x14="http://schemas.microsoft.com/office/spreadsheetml/2009/9/main" uri="{63CAB8AC-B538-458d-9737-405883B0398D}">
          <x14:cacheField ignore="1"/>
        </ext>
      </extLst>
    </cacheField>
  </cacheFields>
  <cacheHierarchies count="39">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Distinct Count of Patient Attend Status]" caption="Distinct 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neeza" refreshedDate="45948.792055555554" createdVersion="5" refreshedVersion="8" minRefreshableVersion="3" recordCount="0" supportSubquery="1" supportAdvancedDrill="1" xr:uid="{7801246A-E3B4-4497-B190-FAFA8CE8E857}">
  <cacheSource type="external" connectionId="3"/>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3" level="32767"/>
    <cacheField name="[Calendar_Table].[Date (Year)].[Date (Year)]" caption="Date (Year)" numFmtId="0" hierarchy="3" level="1">
      <sharedItems containsSemiMixedTypes="0" containsNonDate="0" containsString="0"/>
    </cacheField>
  </cacheFields>
  <cacheHierarchies count="38">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Distinct Count of Patient Attend Status]" caption="Distinct 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neeza" refreshedDate="45948.792056481485" createdVersion="5" refreshedVersion="8" minRefreshableVersion="3" recordCount="0" supportSubquery="1" supportAdvancedDrill="1" xr:uid="{14D028F7-78E9-4F7B-911C-1592D5F6976C}">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4" level="32767"/>
    <cacheField name="[Calendar_Table].[Date (Year)].[Date (Year)]" caption="Date (Year)" numFmtId="0" hierarchy="3" level="1">
      <sharedItems containsSemiMixedTypes="0" containsNonDate="0" containsString="0"/>
    </cacheField>
  </cacheFields>
  <cacheHierarchies count="38">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Distinct Count of Patient Attend Status]" caption="Distinct 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neeza" refreshedDate="45948.79205729167" createdVersion="5" refreshedVersion="8" minRefreshableVersion="3" recordCount="0" supportSubquery="1" supportAdvancedDrill="1" xr:uid="{B5ADA437-CE26-4B4D-8DE4-95C2DD3AEBEB}">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6" level="32767"/>
    <cacheField name="[Calendar_Table].[Date (Year)].[Date (Year)]" caption="Date (Year)" numFmtId="0" hierarchy="3" level="1">
      <sharedItems containsSemiMixedTypes="0" containsNonDate="0" containsString="0"/>
    </cacheField>
  </cacheFields>
  <cacheHierarchies count="38">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Distinct Count of Patient Attend Status]" caption="Distinct 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neeza" refreshedDate="45948.792058217594" createdVersion="5" refreshedVersion="8" minRefreshableVersion="3" recordCount="0" supportSubquery="1" supportAdvancedDrill="1" xr:uid="{1A526D66-256D-4AA6-8FD8-327EE16FB9FE}">
  <cacheSource type="external" connectionId="3"/>
  <cacheFields count="4">
    <cacheField name="[Calendar_Table].[Date (Month)].[Date (Month)]" caption="Date (Month)" numFmtId="0" hierarchy="1" level="1">
      <sharedItems containsSemiMixedTypes="0" containsNonDate="0" containsString="0"/>
    </cacheField>
    <cacheField name="[Measures].[Count of Patient Gender]" caption="Count of Patient Gender" numFmtId="0" hierarchy="36" level="32767"/>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Calendar_Table].[Date (Year)].[Date (Year)]" caption="Date (Year)" numFmtId="0" hierarchy="3" level="1">
      <sharedItems containsSemiMixedTypes="0" containsNonDate="0" containsString="0"/>
    </cacheField>
  </cacheFields>
  <cacheHierarchies count="38">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2"/>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Distinct Count of Patient Attend Status]" caption="Distinct 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neeza" refreshedDate="45948.792059027779" createdVersion="5" refreshedVersion="8" minRefreshableVersion="3" recordCount="0" supportSubquery="1" supportAdvancedDrill="1" xr:uid="{9DD8C238-E902-4160-88E3-17F0D44DF06E}">
  <cacheSource type="external" connectionId="3"/>
  <cacheFields count="4">
    <cacheField name="[Calendar_Table].[Date (Month)].[Date (Month)]" caption="Date (Month)" numFmtId="0" hierarchy="1" level="1">
      <sharedItems count="1">
        <s v="Jul"/>
      </sharedItems>
    </cacheField>
    <cacheField name="[Calendar_Table].[Date].[Date]" caption="Date" numFmtId="0" level="1">
      <sharedItems containsSemiMixedTypes="0" containsNonDate="0" containsDate="1" containsString="0" minDate="2023-07-01T00:00:00" maxDate="2024-08-01T00:00:00" count="62">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sharedItems>
    </cacheField>
    <cacheField name="[Calendar_Table].[Date (Quarter)].[Date (Quarter)]" caption="Date (Quarter)" numFmtId="0" hierarchy="4" level="1">
      <sharedItems count="1">
        <s v="Qtr3"/>
      </sharedItems>
    </cacheField>
    <cacheField name="[Calendar_Table].[Date (Year)].[Date (Year)]" caption="Date (Year)" numFmtId="0" hierarchy="3" level="1">
      <sharedItems count="1">
        <s v="2024"/>
      </sharedItems>
    </cacheField>
  </cacheFields>
  <cacheHierarchies count="38">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Distinct Count of Patient Attend Status]" caption="Distinct 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neeza" refreshedDate="45893.838052083331" createdVersion="3" refreshedVersion="8" minRefreshableVersion="3" recordCount="0" supportSubquery="1" supportAdvancedDrill="1" xr:uid="{C379B2A2-3680-418E-8B84-2429480234C1}">
  <cacheSource type="external" connectionId="3">
    <extLst>
      <ext xmlns:x14="http://schemas.microsoft.com/office/spreadsheetml/2009/9/main" uri="{F057638F-6D5F-4e77-A914-E7F072B9BCA8}">
        <x14:sourceConnection name="ThisWorkbookDataModel"/>
      </ext>
    </extLst>
  </cacheSource>
  <cacheFields count="0"/>
  <cacheHierarchies count="38">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Distinct Count of Patient Attend Status]" caption="Distinct 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168809585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A02C7C-DA00-49E0-992A-6472A19A64FC}" name="PivotTable5" cacheId="11" applyNumberFormats="0" applyBorderFormats="0" applyFontFormats="0" applyPatternFormats="0" applyAlignmentFormats="0" applyWidthHeightFormats="1" dataCaption="Values" tag="6397df81-31cf-4cd3-b9cb-8539893a49b1" updatedVersion="8" minRefreshableVersion="3" subtotalHiddenItems="1" itemPrintTitles="1" createdVersion="5" indent="0" outline="1" outlineData="1" multipleFieldFilters="0" chartFormat="59">
  <location ref="F4:G36" firstHeaderRow="1" firstDataRow="1" firstDataCol="1"/>
  <pivotFields count="4">
    <pivotField axis="axisRow" allDrilled="1" subtotalTop="0" showAll="0" dataSourceSort="1" defaultSubtotal="0" defaultAttributeDrillState="1">
      <items count="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dataFields>
  <formats count="10">
    <format dxfId="9">
      <pivotArea dataOnly="0" labelOnly="1" fieldPosition="0">
        <references count="1">
          <reference field="0" count="0"/>
        </references>
      </pivotArea>
    </format>
    <format dxfId="8">
      <pivotArea dataOnly="0" labelOnly="1" grandRow="1" outline="0" fieldPosition="0"/>
    </format>
    <format dxfId="7">
      <pivotArea collapsedLevelsAreSubtotals="1" fieldPosition="0">
        <references count="1">
          <reference field="0" count="0"/>
        </references>
      </pivotArea>
    </format>
    <format dxfId="6">
      <pivotArea type="all" dataOnly="0" outline="0" fieldPosition="0"/>
    </format>
    <format dxfId="5">
      <pivotArea outline="0" collapsedLevelsAreSubtotals="1" fieldPosition="0"/>
    </format>
    <format dxfId="4">
      <pivotArea field="0" type="button" dataOnly="0" labelOnly="1" outline="0" axis="axisRow" fieldPosition="0"/>
    </format>
    <format dxfId="3">
      <pivotArea dataOnly="0" labelOnly="1" fieldPosition="0">
        <references count="1">
          <reference field="0" count="5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reference>
        </references>
      </pivotArea>
    </format>
    <format dxfId="2">
      <pivotArea dataOnly="0" labelOnly="1" fieldPosition="0">
        <references count="1">
          <reference field="0" count="12">
            <x v="81"/>
            <x v="82"/>
            <x v="83"/>
            <x v="84"/>
            <x v="85"/>
            <x v="86"/>
            <x v="87"/>
            <x v="88"/>
            <x v="89"/>
            <x v="90"/>
            <x v="91"/>
            <x v="92"/>
          </reference>
        </references>
      </pivotArea>
    </format>
    <format dxfId="1">
      <pivotArea dataOnly="0" labelOnly="1" grandRow="1" outline="0" fieldPosition="0"/>
    </format>
    <format dxfId="0">
      <pivotArea dataOnly="0" labelOnly="1" outline="0" axis="axisValues" fieldPosition="0"/>
    </format>
  </formats>
  <chartFormats count="2">
    <chartFormat chart="43" format="2" series="1">
      <pivotArea type="data" outline="0" fieldPosition="0">
        <references count="1">
          <reference field="4294967294" count="1" selected="0">
            <x v="0"/>
          </reference>
        </references>
      </pivotArea>
    </chartFormat>
    <chartFormat chart="52" format="4"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65B2F3E-A260-4D72-84EE-8D41D1C68506}" name="PivotTable8" cacheId="13" applyNumberFormats="0" applyBorderFormats="0" applyFontFormats="0" applyPatternFormats="0" applyAlignmentFormats="0" applyWidthHeightFormats="1" dataCaption="Values" tag="62a061e9-dede-49e0-955c-f7b5c3456ddc" updatedVersion="8" minRefreshableVersion="3" subtotalHiddenItems="1" itemPrintTitles="1" createdVersion="5" indent="0" outline="1" outlineData="1" multipleFieldFilters="0" chartFormat="1">
  <location ref="A85:C88"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6">
    <format dxfId="15">
      <pivotArea outline="0" collapsedLevelsAreSubtotals="1" fieldPosition="0"/>
    </format>
    <format dxfId="14">
      <pivotArea type="all" dataOnly="0" outline="0" fieldPosition="0"/>
    </format>
    <format dxfId="13">
      <pivotArea outline="0" collapsedLevelsAreSubtotals="1" fieldPosition="0"/>
    </format>
    <format dxfId="12">
      <pivotArea dataOnly="0" labelOnly="1" outline="0" axis="axisValues" fieldPosition="0"/>
    </format>
    <format dxfId="11">
      <pivotArea collapsedLevelsAreSubtotals="1" fieldPosition="0">
        <references count="2">
          <reference field="4294967294" count="1" selected="0">
            <x v="0"/>
          </reference>
          <reference field="2" count="0"/>
        </references>
      </pivotArea>
    </format>
    <format dxfId="10">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s>
  <pivotHierarchies count="39">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1C9B4C7-F19E-4003-BA22-8CE8EAD77E89}" name="PivotTable7" cacheId="18" applyNumberFormats="0" applyBorderFormats="0" applyFontFormats="0" applyPatternFormats="0" applyAlignmentFormats="0" applyWidthHeightFormats="1" dataCaption="Values" tag="62a061e9-dede-49e0-955c-f7b5c3456ddc" updatedVersion="8" minRefreshableVersion="3" subtotalHiddenItems="1" itemPrintTitles="1" createdVersion="5" indent="0" outline="1" outlineData="1" multipleFieldFilters="0" chartFormat="38">
  <location ref="A133:A135"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4">
    <format dxfId="19">
      <pivotArea outline="0" collapsedLevelsAreSubtotals="1" fieldPosition="0"/>
    </format>
    <format dxfId="18">
      <pivotArea type="all" dataOnly="0" outline="0" fieldPosition="0"/>
    </format>
    <format dxfId="17">
      <pivotArea outline="0" collapsedLevelsAreSubtotals="1" fieldPosition="0"/>
    </format>
    <format dxfId="16">
      <pivotArea dataOnly="0" labelOnly="1" outline="0" axis="axisValues" fieldPosition="0"/>
    </format>
  </formats>
  <pivotHierarchies count="38">
    <pivotHierarchy dragToData="1"/>
    <pivotHierarchy multipleItemSelectionAllowed="1" dragToData="1">
      <members count="1" level="1">
        <member name="[Calenda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caption="Count of Patient Age"/>
    <pivotHierarchy dragToData="1"/>
    <pivotHierarchy dragToData="1" caption="Count of Patient Attend Status"/>
    <pivotHierarchy dragToData="1" caption="Distinct Count of Patient Attend Status"/>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13086C3-24D5-4EA1-B165-A3DE9F5FA617}" name="PivotTable9" cacheId="14" applyNumberFormats="0" applyBorderFormats="0" applyFontFormats="0" applyPatternFormats="0" applyAlignmentFormats="0" applyWidthHeightFormats="1" dataCaption="Values" tag="62a061e9-dede-49e0-955c-f7b5c3456ddc" updatedVersion="8" minRefreshableVersion="3" subtotalHiddenItems="1" itemPrintTitles="1" createdVersion="5" indent="0" outline="1" outlineData="1" multipleFieldFilters="0" chartFormat="4">
  <location ref="A97:B106"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5">
    <format dxfId="24">
      <pivotArea outline="0" collapsedLevelsAreSubtotals="1" fieldPosition="0"/>
    </format>
    <format dxfId="23">
      <pivotArea type="all" dataOnly="0" outline="0" fieldPosition="0"/>
    </format>
    <format dxfId="22">
      <pivotArea outline="0" collapsedLevelsAreSubtotals="1" fieldPosition="0"/>
    </format>
    <format dxfId="21">
      <pivotArea dataOnly="0" labelOnly="1" outline="0" axis="axisValues" fieldPosition="0"/>
    </format>
    <format dxfId="20">
      <pivotArea collapsedLevelsAreSubtotals="1" fieldPosition="0">
        <references count="1">
          <reference field="1" count="0"/>
        </references>
      </pivotArea>
    </format>
  </formats>
  <chartFormats count="1">
    <chartFormat chart="3" format="2"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caption="Count of Patient Ag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0318DA0-74AC-4C1A-B282-22126E87F8D1}" name="PivotTable3" cacheId="10" applyNumberFormats="0" applyBorderFormats="0" applyFontFormats="0" applyPatternFormats="0" applyAlignmentFormats="0" applyWidthHeightFormats="1" dataCaption="Values" tag="62a061e9-dede-49e0-955c-f7b5c3456ddc" updatedVersion="8" minRefreshableVersion="3" subtotalHiddenItems="1" itemPrintTitles="1" createdVersion="5" indent="0" outline="1" outlineData="1" multipleFieldFilters="0">
  <location ref="A12:A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4">
    <format dxfId="28">
      <pivotArea outline="0" collapsedLevelsAreSubtotals="1" fieldPosition="0"/>
    </format>
    <format dxfId="27">
      <pivotArea type="all" dataOnly="0" outline="0" fieldPosition="0"/>
    </format>
    <format dxfId="26">
      <pivotArea outline="0" collapsedLevelsAreSubtotals="1" fieldPosition="0"/>
    </format>
    <format dxfId="25">
      <pivotArea dataOnly="0" labelOnly="1" outline="0" axis="axisValues" fieldPosition="0"/>
    </format>
  </formats>
  <pivotHierarchies count="38">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97CAE92-0983-44FC-AC74-9699A8311912}" name="PivotTable1" cacheId="8" applyNumberFormats="0" applyBorderFormats="0" applyFontFormats="0" applyPatternFormats="0" applyAlignmentFormats="0" applyWidthHeightFormats="1" dataCaption="Values" tag="53a6d5b9-eaa0-4cd3-b343-21a54dd4475e"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formats count="3">
    <format dxfId="31">
      <pivotArea type="all" dataOnly="0" outline="0" fieldPosition="0"/>
    </format>
    <format dxfId="30">
      <pivotArea outline="0" collapsedLevelsAreSubtotals="1" fieldPosition="0"/>
    </format>
    <format dxfId="29">
      <pivotArea dataOnly="0" labelOnly="1" outline="0" axis="axisValues" fieldPosition="0"/>
    </format>
  </formats>
  <pivotHierarchies count="38">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98A68D1-9B8C-4501-ABA6-9CEEBB53E204}" name="PivotTable4" cacheId="7" applyNumberFormats="0" applyBorderFormats="0" applyFontFormats="0" applyPatternFormats="0" applyAlignmentFormats="0" applyWidthHeightFormats="1" dataCaption="Values" tag="6397df81-31cf-4cd3-b9cb-8539893a49b1" updatedVersion="8" minRefreshableVersion="3" subtotalHiddenItems="1" itemPrintTitles="1" createdVersion="5" indent="0" outline="1" outlineData="1" multipleFieldFilters="0" chartFormat="42">
  <location ref="C4:D36" firstHeaderRow="1" firstDataRow="1" firstDataCol="1"/>
  <pivotFields count="4">
    <pivotField dataField="1" subtotalTop="0" showAll="0" defaultSubtotal="0"/>
    <pivotField axis="axisRow" allDrilled="1" subtotalTop="0" showAll="0" dataSourceSort="1" defaultSubtotal="0" defaultAttributeDrillState="1">
      <items count="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formats count="9">
    <format dxfId="40">
      <pivotArea dataOnly="0" labelOnly="1" fieldPosition="0">
        <references count="1">
          <reference field="1" count="0"/>
        </references>
      </pivotArea>
    </format>
    <format dxfId="39">
      <pivotArea dataOnly="0" labelOnly="1" grandRow="1" outline="0" fieldPosition="0"/>
    </format>
    <format dxfId="38">
      <pivotArea type="all" dataOnly="0" outline="0" fieldPosition="0"/>
    </format>
    <format dxfId="37">
      <pivotArea outline="0" collapsedLevelsAreSubtotals="1" fieldPosition="0"/>
    </format>
    <format dxfId="36">
      <pivotArea field="1" type="button" dataOnly="0" labelOnly="1" outline="0" axis="axisRow" fieldPosition="0"/>
    </format>
    <format dxfId="35">
      <pivotArea dataOnly="0" labelOnly="1" fieldPosition="0">
        <references count="1">
          <reference field="1" count="50">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reference>
        </references>
      </pivotArea>
    </format>
    <format dxfId="34">
      <pivotArea dataOnly="0" labelOnly="1" fieldPosition="0">
        <references count="1">
          <reference field="1" count="12">
            <x v="83"/>
            <x v="84"/>
            <x v="85"/>
            <x v="86"/>
            <x v="87"/>
            <x v="88"/>
            <x v="89"/>
            <x v="90"/>
            <x v="91"/>
            <x v="92"/>
            <x v="93"/>
            <x v="94"/>
          </reference>
        </references>
      </pivotArea>
    </format>
    <format dxfId="33">
      <pivotArea dataOnly="0" labelOnly="1" grandRow="1" outline="0" fieldPosition="0"/>
    </format>
    <format dxfId="32">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0" format="3">
      <pivotArea type="data" outline="0" fieldPosition="0">
        <references count="2">
          <reference field="4294967294" count="1" selected="0">
            <x v="0"/>
          </reference>
          <reference field="1" count="1" selected="0">
            <x v="31"/>
          </reference>
        </references>
      </pivotArea>
    </chartFormat>
    <chartFormat chart="30" format="4">
      <pivotArea type="data" outline="0" fieldPosition="0">
        <references count="2">
          <reference field="4294967294" count="1" selected="0">
            <x v="0"/>
          </reference>
          <reference field="1" count="1" selected="0">
            <x v="32"/>
          </reference>
        </references>
      </pivotArea>
    </chartFormat>
    <chartFormat chart="32" format="2"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E26C0DC-D697-4317-88E8-7BA74E9579C4}" name="PivotTable6" cacheId="12" applyNumberFormats="0" applyBorderFormats="0" applyFontFormats="0" applyPatternFormats="0" applyAlignmentFormats="0" applyWidthHeightFormats="1" dataCaption="Values" tag="6397df81-31cf-4cd3-b9cb-8539893a49b1" updatedVersion="8" minRefreshableVersion="3" subtotalHiddenItems="1" itemPrintTitles="1" createdVersion="5" indent="0" outline="1" outlineData="1" multipleFieldFilters="0" chartFormat="69">
  <location ref="I4:J36" firstHeaderRow="1" firstDataRow="1" firstDataCol="1"/>
  <pivotFields count="4">
    <pivotField axis="axisRow" allDrilled="1" subtotalTop="0" showAll="0" dataSourceSort="1" defaultSubtotal="0" defaultAttributeDrillState="1">
      <items count="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10">
    <format dxfId="50">
      <pivotArea dataOnly="0" labelOnly="1" fieldPosition="0">
        <references count="1">
          <reference field="0" count="0"/>
        </references>
      </pivotArea>
    </format>
    <format dxfId="49">
      <pivotArea dataOnly="0" labelOnly="1" grandRow="1" outline="0" fieldPosition="0"/>
    </format>
    <format dxfId="48">
      <pivotArea collapsedLevelsAreSubtotals="1" fieldPosition="0">
        <references count="1">
          <reference field="0" count="0"/>
        </references>
      </pivotArea>
    </format>
    <format dxfId="47">
      <pivotArea type="all" dataOnly="0" outline="0" fieldPosition="0"/>
    </format>
    <format dxfId="46">
      <pivotArea outline="0" collapsedLevelsAreSubtotals="1" fieldPosition="0"/>
    </format>
    <format dxfId="45">
      <pivotArea field="0" type="button" dataOnly="0" labelOnly="1" outline="0" axis="axisRow" fieldPosition="0"/>
    </format>
    <format dxfId="44">
      <pivotArea dataOnly="0" labelOnly="1" fieldPosition="0">
        <references count="1">
          <reference field="0" count="5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reference>
        </references>
      </pivotArea>
    </format>
    <format dxfId="43">
      <pivotArea dataOnly="0" labelOnly="1" fieldPosition="0">
        <references count="1">
          <reference field="0" count="11">
            <x v="81"/>
            <x v="82"/>
            <x v="83"/>
            <x v="84"/>
            <x v="85"/>
            <x v="86"/>
            <x v="87"/>
            <x v="88"/>
            <x v="89"/>
            <x v="90"/>
            <x v="91"/>
          </reference>
        </references>
      </pivotArea>
    </format>
    <format dxfId="42">
      <pivotArea dataOnly="0" labelOnly="1" grandRow="1" outline="0" fieldPosition="0"/>
    </format>
    <format dxfId="41">
      <pivotArea dataOnly="0" labelOnly="1" outline="0" axis="axisValues" fieldPosition="0"/>
    </format>
  </formats>
  <chartFormats count="2">
    <chartFormat chart="65" format="2" series="1">
      <pivotArea type="data" outline="0" fieldPosition="0">
        <references count="1">
          <reference field="4294967294" count="1" selected="0">
            <x v="0"/>
          </reference>
        </references>
      </pivotArea>
    </chartFormat>
    <chartFormat chart="66" format="2"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EBAE1AD-070C-4EFA-AAA7-7AE5F0A42E98}" name="PivotTable11" cacheId="16" applyNumberFormats="0" applyBorderFormats="0" applyFontFormats="0" applyPatternFormats="0" applyAlignmentFormats="0" applyWidthHeightFormats="1" dataCaption="Values" tag="62a061e9-dede-49e0-955c-f7b5c3456ddc" updatedVersion="8" minRefreshableVersion="3" subtotalHiddenItems="1" itemPrintTitles="1" createdVersion="5" indent="0" outline="1" outlineData="1" multipleFieldFilters="0" chartFormat="33">
  <location ref="A115:B118"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4">
    <format dxfId="54">
      <pivotArea outline="0" collapsedLevelsAreSubtotals="1" fieldPosition="0"/>
    </format>
    <format dxfId="53">
      <pivotArea type="all" dataOnly="0" outline="0" fieldPosition="0"/>
    </format>
    <format dxfId="52">
      <pivotArea outline="0" collapsedLevelsAreSubtotals="1" fieldPosition="0"/>
    </format>
    <format dxfId="51">
      <pivotArea dataOnly="0" labelOnly="1" outline="0" axis="axisValues" fieldPosition="0"/>
    </format>
  </formats>
  <chartFormats count="3">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1" count="1" selected="0">
            <x v="0"/>
          </reference>
        </references>
      </pivotArea>
    </chartFormat>
    <chartFormat chart="14" format="6">
      <pivotArea type="data" outline="0" fieldPosition="0">
        <references count="2">
          <reference field="4294967294" count="1" selected="0">
            <x v="0"/>
          </reference>
          <reference field="1" count="1" selected="0">
            <x v="1"/>
          </reference>
        </references>
      </pivotArea>
    </chartFormat>
  </chartFormats>
  <pivotHierarchies count="38">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caption="Count of Patient Age"/>
    <pivotHierarchy dragToData="1"/>
    <pivotHierarchy dragToData="1" caption="Count of Patient Attend Status"/>
    <pivotHierarchy dragToData="1" caption="Distinct Count of Patient Attend Status"/>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F5B0530-1B43-4820-BA82-448C3191A193}" name="PivotTable12" cacheId="17" applyNumberFormats="0" applyBorderFormats="0" applyFontFormats="0" applyPatternFormats="0" applyAlignmentFormats="0" applyWidthHeightFormats="1" dataCaption="Values" tag="62a061e9-dede-49e0-955c-f7b5c3456ddc" updatedVersion="8" minRefreshableVersion="3" subtotalHiddenItems="1" itemPrintTitles="1" createdVersion="5" indent="0" outline="1" outlineData="1" multipleFieldFilters="0" chartFormat="38">
  <location ref="A121:B130"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9">
    <i>
      <x v="1"/>
    </i>
    <i>
      <x v="7"/>
    </i>
    <i>
      <x v="3"/>
    </i>
    <i>
      <x v="6"/>
    </i>
    <i>
      <x/>
    </i>
    <i>
      <x v="5"/>
    </i>
    <i>
      <x v="2"/>
    </i>
    <i>
      <x v="4"/>
    </i>
    <i t="grand">
      <x/>
    </i>
  </rowItems>
  <colItems count="1">
    <i/>
  </colItems>
  <dataFields count="1">
    <dataField name="Count of Patient Gender" fld="1" subtotal="count" baseField="0" baseItem="0"/>
  </dataFields>
  <formats count="5">
    <format dxfId="59">
      <pivotArea outline="0" collapsedLevelsAreSubtotals="1" fieldPosition="0"/>
    </format>
    <format dxfId="58">
      <pivotArea type="all" dataOnly="0" outline="0" fieldPosition="0"/>
    </format>
    <format dxfId="57">
      <pivotArea outline="0" collapsedLevelsAreSubtotals="1" fieldPosition="0"/>
    </format>
    <format dxfId="56">
      <pivotArea dataOnly="0" labelOnly="1" outline="0" axis="axisValues" fieldPosition="0"/>
    </format>
    <format dxfId="55">
      <pivotArea collapsedLevelsAreSubtotals="1" fieldPosition="0">
        <references count="1">
          <reference field="2" count="0"/>
        </references>
      </pivotArea>
    </format>
  </formats>
  <chartFormats count="5">
    <chartFormat chart="12" format="0"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caption="Count of Patient Age"/>
    <pivotHierarchy dragToData="1"/>
    <pivotHierarchy dragToData="1" caption="Count of Patient Attend Status"/>
    <pivotHierarchy dragToData="1" caption="Distinct Count of Patient Attend Status"/>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8236DEF-2843-4B45-847E-04D21E16F3FA}" name="PivotTable2" cacheId="9" applyNumberFormats="0" applyBorderFormats="0" applyFontFormats="0" applyPatternFormats="0" applyAlignmentFormats="0" applyWidthHeightFormats="1" dataCaption="Values" tag="5655ae1d-f149-4393-aa8a-7c7a44ed8df1" updatedVersion="8" minRefreshableVersion="3"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 time" fld="0" subtotal="average" baseField="0" baseItem="0" numFmtId="2"/>
  </dataFields>
  <formats count="4">
    <format dxfId="63">
      <pivotArea outline="0" collapsedLevelsAreSubtotals="1" fieldPosition="0"/>
    </format>
    <format dxfId="62">
      <pivotArea type="all" dataOnly="0" outline="0" fieldPosition="0"/>
    </format>
    <format dxfId="61">
      <pivotArea outline="0" collapsedLevelsAreSubtotals="1" fieldPosition="0"/>
    </format>
    <format dxfId="60">
      <pivotArea dataOnly="0" labelOnly="1" outline="0" axis="axisValues" fieldPosition="0"/>
    </format>
  </formats>
  <pivotHierarchies count="38">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 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6DAFF8C-BC40-4AC0-BBDF-CA9A35FFD053}" name="PivotTable10" cacheId="15" applyNumberFormats="0" applyBorderFormats="0" applyFontFormats="0" applyPatternFormats="0" applyAlignmentFormats="0" applyWidthHeightFormats="1" dataCaption="Values" tag="62a061e9-dede-49e0-955c-f7b5c3456ddc" updatedVersion="8" minRefreshableVersion="3" subtotalHiddenItems="1" itemPrintTitles="1" createdVersion="5" indent="0" outline="1" outlineData="1" multipleFieldFilters="0" chartFormat="17">
  <location ref="A109:B11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1" baseItem="0"/>
  </dataFields>
  <formats count="4">
    <format dxfId="67">
      <pivotArea outline="0" collapsedLevelsAreSubtotals="1" fieldPosition="0"/>
    </format>
    <format dxfId="66">
      <pivotArea type="all" dataOnly="0" outline="0" fieldPosition="0"/>
    </format>
    <format dxfId="65">
      <pivotArea outline="0" collapsedLevelsAreSubtotals="1" fieldPosition="0"/>
    </format>
    <format dxfId="64">
      <pivotArea dataOnly="0" labelOnly="1" outline="0" axis="axisValues" fieldPosition="0"/>
    </format>
  </formats>
  <chartFormats count="3">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1" count="1" selected="0">
            <x v="0"/>
          </reference>
        </references>
      </pivotArea>
    </chartFormat>
    <chartFormat chart="11" format="6">
      <pivotArea type="data" outline="0" fieldPosition="0">
        <references count="2">
          <reference field="4294967294" count="1" selected="0">
            <x v="0"/>
          </reference>
          <reference field="1" count="1" selected="0">
            <x v="1"/>
          </reference>
        </references>
      </pivotArea>
    </chartFormat>
  </chartFormats>
  <pivotHierarchies count="38">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caption="Count of Patient Age"/>
    <pivotHierarchy dragToData="1"/>
    <pivotHierarchy dragToData="1" caption="Count of Patient Attend Status"/>
    <pivotHierarchy dragToData="1" caption="Distinct Count of Patient Attend Status"/>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15DBC100-F02C-418F-B456-CE02233D2C88}" sourceName="[Calendar_Table].[Date (Month)]">
  <pivotTables>
    <pivotTable tabId="1" name="PivotTable4"/>
    <pivotTable tabId="1" name="PivotTable1"/>
    <pivotTable tabId="1" name="PivotTable2"/>
    <pivotTable tabId="1" name="PivotTable3"/>
    <pivotTable tabId="1" name="PivotTable5"/>
    <pivotTable tabId="1" name="PivotTable6"/>
    <pivotTable tabId="1" name="PivotTable8"/>
    <pivotTable tabId="1" name="PivotTable9"/>
    <pivotTable tabId="1" name="PivotTable10"/>
    <pivotTable tabId="1" name="PivotTable11"/>
    <pivotTable tabId="1" name="PivotTable12"/>
    <pivotTable tabId="1" name="PivotTable7"/>
  </pivotTables>
  <data>
    <olap pivotCacheId="1688095856">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E692BD90-678A-465B-B704-E88937DE3080}" sourceName="[Calendar_Table].[Date (Year)]">
  <pivotTables>
    <pivotTable tabId="1" name="PivotTable7"/>
    <pivotTable tabId="1" name="PivotTable1"/>
    <pivotTable tabId="1" name="PivotTable10"/>
    <pivotTable tabId="1" name="PivotTable11"/>
    <pivotTable tabId="1" name="PivotTable12"/>
    <pivotTable tabId="1" name="PivotTable2"/>
    <pivotTable tabId="1" name="PivotTable3"/>
    <pivotTable tabId="1" name="PivotTable4"/>
    <pivotTable tabId="1" name="PivotTable5"/>
    <pivotTable tabId="1" name="PivotTable6"/>
    <pivotTable tabId="1" name="PivotTable8"/>
    <pivotTable tabId="1" name="PivotTable9"/>
  </pivotTables>
  <data>
    <olap pivotCacheId="1688095856">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4772539B-EF73-48A7-ADEA-E5915901DDDA}" cache="Slicer_Date__Month" caption="Date (Month)" showCaption="0" level="1" style="SlicerStyleDark2 2" rowHeight="144000"/>
  <slicer name="Date (Year)" xr10:uid="{36EEA985-12A4-473D-A62F-D18CA8B58064}" cache="Slicer_Date__Year" caption="Date (Year)" columnCount="2" showCaption="0" level="1" style="SlicerStyleDark2 2"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4.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91DD1-F7BC-4538-A8ED-9AAA9547B1BC}">
  <dimension ref="A1:S20"/>
  <sheetViews>
    <sheetView showGridLines="0" tabSelected="1" zoomScale="101" zoomScaleNormal="100" workbookViewId="0">
      <selection activeCell="R7" sqref="R7"/>
    </sheetView>
  </sheetViews>
  <sheetFormatPr defaultRowHeight="14.5" x14ac:dyDescent="0.35"/>
  <cols>
    <col min="2" max="2" width="9.7265625" customWidth="1"/>
  </cols>
  <sheetData>
    <row r="1" spans="1:19" x14ac:dyDescent="0.35">
      <c r="A1" s="1"/>
      <c r="B1" s="1"/>
      <c r="C1" s="1"/>
      <c r="D1" s="1"/>
      <c r="E1" s="1"/>
      <c r="F1" s="1"/>
      <c r="G1" s="1"/>
      <c r="H1" s="1"/>
      <c r="I1" s="1"/>
      <c r="J1" s="1"/>
      <c r="K1" s="1"/>
      <c r="L1" s="1"/>
      <c r="M1" s="1"/>
      <c r="N1" s="1"/>
      <c r="O1" s="1"/>
      <c r="P1" s="1"/>
      <c r="Q1" s="1"/>
      <c r="R1" s="1"/>
      <c r="S1" s="1"/>
    </row>
    <row r="2" spans="1:19" x14ac:dyDescent="0.35">
      <c r="A2" s="1"/>
      <c r="B2" s="1"/>
      <c r="C2" s="1"/>
      <c r="D2" s="1"/>
      <c r="E2" s="1"/>
      <c r="F2" s="1"/>
      <c r="G2" s="1"/>
      <c r="H2" s="1"/>
      <c r="I2" s="1"/>
      <c r="J2" s="1"/>
      <c r="K2" s="1"/>
      <c r="L2" s="1"/>
      <c r="M2" s="1"/>
      <c r="N2" s="1"/>
      <c r="O2" s="1"/>
      <c r="P2" s="1"/>
      <c r="Q2" s="1"/>
      <c r="R2" s="1"/>
      <c r="S2" s="1"/>
    </row>
    <row r="3" spans="1:19" x14ac:dyDescent="0.35">
      <c r="A3" s="1"/>
      <c r="B3" s="1"/>
      <c r="C3" s="1"/>
      <c r="D3" s="1"/>
      <c r="E3" s="1"/>
      <c r="F3" s="1"/>
      <c r="G3" s="1"/>
      <c r="H3" s="1"/>
      <c r="I3" s="1"/>
      <c r="J3" s="1"/>
      <c r="K3" s="1"/>
      <c r="L3" s="1"/>
      <c r="M3" s="1"/>
      <c r="N3" s="1"/>
      <c r="O3" s="1"/>
      <c r="P3" s="1"/>
      <c r="Q3" s="1"/>
      <c r="R3" s="1"/>
      <c r="S3" s="1"/>
    </row>
    <row r="4" spans="1:19" x14ac:dyDescent="0.35">
      <c r="A4" s="1"/>
      <c r="B4" s="1"/>
      <c r="C4" s="1"/>
      <c r="D4" s="1"/>
      <c r="E4" s="1"/>
      <c r="F4" s="1"/>
      <c r="G4" s="1"/>
      <c r="H4" s="1"/>
      <c r="I4" s="1"/>
      <c r="J4" s="1"/>
      <c r="K4" s="1"/>
      <c r="L4" s="1"/>
      <c r="M4" s="1"/>
      <c r="N4" s="1"/>
      <c r="O4" s="1"/>
      <c r="P4" s="1"/>
      <c r="Q4" s="1"/>
      <c r="R4" s="1"/>
      <c r="S4" s="1"/>
    </row>
    <row r="5" spans="1:19" x14ac:dyDescent="0.35">
      <c r="A5" s="1"/>
      <c r="B5" s="1"/>
      <c r="C5" s="1"/>
      <c r="D5" s="1"/>
      <c r="E5" s="1"/>
      <c r="F5" s="1"/>
      <c r="G5" s="1"/>
      <c r="H5" s="1"/>
      <c r="I5" s="1"/>
      <c r="J5" s="1"/>
      <c r="K5" s="1"/>
      <c r="L5" s="1"/>
      <c r="M5" s="1"/>
      <c r="N5" s="1"/>
      <c r="O5" s="1"/>
      <c r="P5" s="1"/>
      <c r="Q5" s="1"/>
      <c r="R5" s="1"/>
      <c r="S5" s="1"/>
    </row>
    <row r="6" spans="1:19" x14ac:dyDescent="0.35">
      <c r="A6" s="1"/>
      <c r="B6" s="1"/>
      <c r="C6" s="1"/>
      <c r="D6" s="1"/>
      <c r="E6" s="1"/>
      <c r="F6" s="1"/>
      <c r="G6" s="1"/>
      <c r="H6" s="1"/>
      <c r="I6" s="1"/>
      <c r="J6" s="1"/>
      <c r="K6" s="1"/>
      <c r="L6" s="1"/>
      <c r="M6" s="1"/>
      <c r="N6" s="1"/>
      <c r="O6" s="1"/>
      <c r="P6" s="1"/>
      <c r="Q6" s="1"/>
      <c r="R6" s="1"/>
      <c r="S6" s="1"/>
    </row>
    <row r="7" spans="1:19" x14ac:dyDescent="0.35">
      <c r="A7" s="1"/>
      <c r="B7" s="1"/>
      <c r="C7" s="1"/>
      <c r="D7" s="1"/>
      <c r="E7" s="1"/>
      <c r="F7" s="1"/>
      <c r="G7" s="1"/>
      <c r="H7" s="1"/>
      <c r="I7" s="1"/>
      <c r="J7" s="1"/>
      <c r="K7" s="1"/>
      <c r="L7" s="1"/>
      <c r="M7" s="1"/>
      <c r="N7" s="1"/>
      <c r="O7" s="1"/>
      <c r="P7" s="1"/>
      <c r="Q7" s="1"/>
      <c r="R7" s="1"/>
      <c r="S7" s="1"/>
    </row>
    <row r="8" spans="1:19" x14ac:dyDescent="0.35">
      <c r="A8" s="1"/>
      <c r="B8" s="1"/>
      <c r="C8" s="1"/>
      <c r="D8" s="1"/>
      <c r="E8" s="1"/>
      <c r="F8" s="1"/>
      <c r="G8" s="1"/>
      <c r="H8" s="1"/>
      <c r="I8" s="1"/>
      <c r="J8" s="1"/>
      <c r="K8" s="1"/>
      <c r="L8" s="1"/>
      <c r="M8" s="1"/>
      <c r="N8" s="1"/>
      <c r="O8" s="1"/>
      <c r="P8" s="1"/>
      <c r="Q8" s="1"/>
      <c r="R8" s="1"/>
      <c r="S8" s="1"/>
    </row>
    <row r="9" spans="1:19" x14ac:dyDescent="0.35">
      <c r="A9" s="1"/>
      <c r="B9" s="1"/>
      <c r="C9" s="1"/>
      <c r="D9" s="1"/>
      <c r="E9" s="1"/>
      <c r="F9" s="1"/>
      <c r="G9" s="1"/>
      <c r="H9" s="1"/>
      <c r="I9" s="1"/>
      <c r="J9" s="1"/>
      <c r="K9" s="1"/>
      <c r="L9" s="1"/>
      <c r="M9" s="1"/>
      <c r="N9" s="1"/>
      <c r="O9" s="1"/>
      <c r="P9" s="1"/>
      <c r="Q9" s="1"/>
      <c r="R9" s="1"/>
      <c r="S9" s="1"/>
    </row>
    <row r="10" spans="1:19" x14ac:dyDescent="0.35">
      <c r="A10" s="1"/>
      <c r="B10" s="1"/>
      <c r="C10" s="1"/>
      <c r="D10" s="1"/>
      <c r="E10" s="1"/>
      <c r="F10" s="1"/>
      <c r="G10" s="1"/>
      <c r="H10" s="1"/>
      <c r="I10" s="1"/>
      <c r="J10" s="1"/>
      <c r="K10" s="1"/>
      <c r="L10" s="1"/>
      <c r="M10" s="1"/>
      <c r="N10" s="1"/>
      <c r="O10" s="1"/>
      <c r="P10" s="1"/>
      <c r="Q10" s="1"/>
      <c r="R10" s="1"/>
      <c r="S10" s="1"/>
    </row>
    <row r="11" spans="1:19" x14ac:dyDescent="0.35">
      <c r="A11" s="1"/>
      <c r="B11" s="1"/>
      <c r="C11" s="1"/>
      <c r="D11" s="1"/>
      <c r="E11" s="1"/>
      <c r="F11" s="1"/>
      <c r="G11" s="1"/>
      <c r="H11" s="1"/>
      <c r="I11" s="1"/>
      <c r="J11" s="1"/>
      <c r="K11" s="1"/>
      <c r="L11" s="1"/>
      <c r="M11" s="1"/>
      <c r="N11" s="1"/>
      <c r="O11" s="1"/>
      <c r="P11" s="1"/>
      <c r="Q11" s="1"/>
      <c r="R11" s="1"/>
      <c r="S11" s="1"/>
    </row>
    <row r="12" spans="1:19" x14ac:dyDescent="0.35">
      <c r="A12" s="1"/>
      <c r="B12" s="1"/>
      <c r="C12" s="1"/>
      <c r="D12" s="1"/>
      <c r="E12" s="1"/>
      <c r="F12" s="1"/>
      <c r="G12" s="1"/>
      <c r="H12" s="1"/>
      <c r="I12" s="1"/>
      <c r="J12" s="1"/>
      <c r="K12" s="1"/>
      <c r="L12" s="1"/>
      <c r="M12" s="1"/>
      <c r="N12" s="1"/>
      <c r="O12" s="1"/>
      <c r="P12" s="1"/>
      <c r="Q12" s="1"/>
      <c r="R12" s="1"/>
      <c r="S12" s="1"/>
    </row>
    <row r="13" spans="1:19" x14ac:dyDescent="0.35">
      <c r="A13" s="1"/>
      <c r="B13" s="1"/>
      <c r="C13" s="1"/>
      <c r="D13" s="1"/>
      <c r="E13" s="1"/>
      <c r="F13" s="1"/>
      <c r="G13" s="1"/>
      <c r="H13" s="1"/>
      <c r="I13" s="1"/>
      <c r="J13" s="1"/>
      <c r="K13" s="1"/>
      <c r="L13" s="1"/>
      <c r="M13" s="1"/>
      <c r="N13" s="1"/>
      <c r="O13" s="1"/>
      <c r="P13" s="1"/>
      <c r="Q13" s="1"/>
      <c r="R13" s="1"/>
      <c r="S13" s="1"/>
    </row>
    <row r="14" spans="1:19" x14ac:dyDescent="0.35">
      <c r="A14" s="1"/>
      <c r="B14" s="1"/>
      <c r="C14" s="1"/>
      <c r="D14" s="1"/>
      <c r="E14" s="1"/>
      <c r="F14" s="1"/>
      <c r="G14" s="1"/>
      <c r="H14" s="1"/>
      <c r="I14" s="1"/>
      <c r="J14" s="1"/>
      <c r="K14" s="1"/>
      <c r="L14" s="1"/>
      <c r="M14" s="1"/>
      <c r="N14" s="1"/>
      <c r="O14" s="1"/>
      <c r="P14" s="1"/>
      <c r="Q14" s="1"/>
      <c r="R14" s="1"/>
      <c r="S14" s="1"/>
    </row>
    <row r="15" spans="1:19" x14ac:dyDescent="0.35">
      <c r="A15" s="1"/>
      <c r="B15" s="1"/>
      <c r="C15" s="1"/>
      <c r="D15" s="1"/>
      <c r="E15" s="1"/>
      <c r="F15" s="1"/>
      <c r="G15" s="1"/>
      <c r="H15" s="1"/>
      <c r="I15" s="1"/>
      <c r="J15" s="1"/>
      <c r="K15" s="1"/>
      <c r="L15" s="1"/>
      <c r="M15" s="1"/>
      <c r="N15" s="1"/>
      <c r="O15" s="1"/>
      <c r="P15" s="1"/>
      <c r="Q15" s="1"/>
      <c r="R15" s="1"/>
      <c r="S15" s="1"/>
    </row>
    <row r="16" spans="1:19" x14ac:dyDescent="0.35">
      <c r="A16" s="1"/>
      <c r="B16" s="1"/>
      <c r="C16" s="1"/>
      <c r="D16" s="1"/>
      <c r="E16" s="1"/>
      <c r="F16" s="1"/>
      <c r="G16" s="1"/>
      <c r="H16" s="1"/>
      <c r="I16" s="1"/>
      <c r="J16" s="1"/>
      <c r="K16" s="1"/>
      <c r="L16" s="1"/>
      <c r="M16" s="1"/>
      <c r="N16" s="1"/>
      <c r="O16" s="1"/>
      <c r="P16" s="1"/>
      <c r="Q16" s="1"/>
      <c r="R16" s="1"/>
      <c r="S16" s="1"/>
    </row>
    <row r="17" spans="1:19" x14ac:dyDescent="0.35">
      <c r="A17" s="1"/>
      <c r="B17" s="1"/>
      <c r="C17" s="1"/>
      <c r="D17" s="1"/>
      <c r="E17" s="1"/>
      <c r="F17" s="1"/>
      <c r="G17" s="1"/>
      <c r="H17" s="1"/>
      <c r="I17" s="1"/>
      <c r="J17" s="1"/>
      <c r="K17" s="1"/>
      <c r="L17" s="1"/>
      <c r="M17" s="1"/>
      <c r="N17" s="1"/>
      <c r="O17" s="1"/>
      <c r="P17" s="1"/>
      <c r="Q17" s="1"/>
      <c r="R17" s="1"/>
      <c r="S17" s="1"/>
    </row>
    <row r="18" spans="1:19" x14ac:dyDescent="0.35">
      <c r="A18" s="1"/>
      <c r="B18" s="1"/>
      <c r="C18" s="1"/>
      <c r="D18" s="1"/>
      <c r="E18" s="1"/>
      <c r="F18" s="1"/>
      <c r="G18" s="1"/>
      <c r="H18" s="1"/>
      <c r="I18" s="1"/>
      <c r="J18" s="1"/>
      <c r="K18" s="1"/>
      <c r="L18" s="1"/>
      <c r="M18" s="1"/>
      <c r="N18" s="1"/>
      <c r="O18" s="1"/>
      <c r="P18" s="1"/>
      <c r="Q18" s="1"/>
      <c r="R18" s="1"/>
      <c r="S18" s="1"/>
    </row>
    <row r="19" spans="1:19" x14ac:dyDescent="0.35">
      <c r="A19" s="1"/>
      <c r="B19" s="1"/>
      <c r="C19" s="1"/>
      <c r="D19" s="1"/>
      <c r="E19" s="1"/>
      <c r="F19" s="1"/>
      <c r="G19" s="1"/>
      <c r="H19" s="1"/>
      <c r="I19" s="1"/>
      <c r="J19" s="1"/>
      <c r="K19" s="1"/>
      <c r="L19" s="1"/>
      <c r="M19" s="1"/>
      <c r="N19" s="1"/>
      <c r="O19" s="1"/>
      <c r="P19" s="1"/>
      <c r="Q19" s="1"/>
      <c r="R19" s="1"/>
      <c r="S19" s="1"/>
    </row>
    <row r="20" spans="1:19" x14ac:dyDescent="0.35">
      <c r="A20" s="1"/>
      <c r="B20" s="1"/>
      <c r="C20" s="1"/>
      <c r="D20" s="1"/>
      <c r="E20" s="1"/>
      <c r="F20" s="1"/>
      <c r="G20" s="1"/>
      <c r="H20" s="1"/>
      <c r="I20" s="1"/>
      <c r="J20" s="1"/>
      <c r="K20" s="1"/>
      <c r="L20" s="1"/>
      <c r="M20" s="1"/>
      <c r="N20" s="1"/>
      <c r="O20" s="1"/>
      <c r="P20" s="1"/>
      <c r="Q20" s="1"/>
      <c r="R20" s="1"/>
      <c r="S20" s="1"/>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E12D9-B9B1-42F2-85F9-368DB453A653}">
  <dimension ref="A1:R19"/>
  <sheetViews>
    <sheetView showGridLines="0" zoomScale="102" workbookViewId="0">
      <selection activeCell="R1" sqref="R1"/>
    </sheetView>
  </sheetViews>
  <sheetFormatPr defaultRowHeight="14.5" x14ac:dyDescent="0.35"/>
  <sheetData>
    <row r="1" spans="1:18" x14ac:dyDescent="0.35">
      <c r="A1" s="2"/>
      <c r="B1" s="2"/>
      <c r="C1" s="2"/>
      <c r="D1" s="2"/>
      <c r="E1" s="2"/>
      <c r="F1" s="2"/>
      <c r="G1" s="2"/>
      <c r="H1" s="2"/>
      <c r="I1" s="2"/>
      <c r="J1" s="2"/>
      <c r="K1" s="2"/>
      <c r="L1" s="2"/>
      <c r="M1" s="3"/>
      <c r="N1" s="3"/>
      <c r="O1" s="3"/>
      <c r="P1" s="3"/>
      <c r="Q1" s="3"/>
      <c r="R1" s="3"/>
    </row>
    <row r="2" spans="1:18" x14ac:dyDescent="0.35">
      <c r="A2" s="2"/>
      <c r="B2" s="2"/>
      <c r="C2" s="2"/>
      <c r="D2" s="2"/>
      <c r="E2" s="2"/>
      <c r="F2" s="2"/>
      <c r="G2" s="2"/>
      <c r="H2" s="2"/>
      <c r="I2" s="2"/>
      <c r="J2" s="2"/>
      <c r="K2" s="2"/>
      <c r="L2" s="2"/>
      <c r="M2" s="3"/>
      <c r="N2" s="3"/>
      <c r="O2" s="3"/>
      <c r="P2" s="3"/>
      <c r="Q2" s="3"/>
      <c r="R2" s="3"/>
    </row>
    <row r="3" spans="1:18" x14ac:dyDescent="0.35">
      <c r="A3" s="2"/>
      <c r="B3" s="2"/>
      <c r="C3" s="2"/>
      <c r="D3" s="2"/>
      <c r="E3" s="2"/>
      <c r="F3" s="2"/>
      <c r="G3" s="2"/>
      <c r="H3" s="2"/>
      <c r="I3" s="2"/>
      <c r="J3" s="2"/>
      <c r="K3" s="2"/>
      <c r="L3" s="2"/>
      <c r="M3" s="3"/>
      <c r="N3" s="3"/>
      <c r="O3" s="3"/>
      <c r="P3" s="3"/>
      <c r="Q3" s="3"/>
      <c r="R3" s="3"/>
    </row>
    <row r="4" spans="1:18" x14ac:dyDescent="0.35">
      <c r="A4" s="2"/>
      <c r="B4" s="2"/>
      <c r="C4" s="2"/>
      <c r="D4" s="2"/>
      <c r="E4" s="2"/>
      <c r="F4" s="2"/>
      <c r="G4" s="2"/>
      <c r="H4" s="2"/>
      <c r="I4" s="2"/>
      <c r="J4" s="2"/>
      <c r="K4" s="2"/>
      <c r="L4" s="2"/>
      <c r="M4" s="3"/>
      <c r="N4" s="3"/>
      <c r="O4" s="3"/>
      <c r="P4" s="3"/>
      <c r="Q4" s="3"/>
      <c r="R4" s="3"/>
    </row>
    <row r="5" spans="1:18" x14ac:dyDescent="0.35">
      <c r="A5" s="2"/>
      <c r="B5" s="2"/>
      <c r="C5" s="2"/>
      <c r="D5" s="2"/>
      <c r="E5" s="2"/>
      <c r="F5" s="2"/>
      <c r="G5" s="2"/>
      <c r="H5" s="2"/>
      <c r="I5" s="2"/>
      <c r="J5" s="2"/>
      <c r="K5" s="2"/>
      <c r="L5" s="2"/>
      <c r="M5" s="3"/>
      <c r="N5" s="3"/>
      <c r="O5" s="3"/>
      <c r="P5" s="3"/>
      <c r="Q5" s="3"/>
      <c r="R5" s="3"/>
    </row>
    <row r="6" spans="1:18" x14ac:dyDescent="0.35">
      <c r="A6" s="2"/>
      <c r="B6" s="2"/>
      <c r="C6" s="2"/>
      <c r="D6" s="2"/>
      <c r="E6" s="2"/>
      <c r="F6" s="2"/>
      <c r="G6" s="2"/>
      <c r="H6" s="2"/>
      <c r="I6" s="2"/>
      <c r="J6" s="2"/>
      <c r="K6" s="2"/>
      <c r="L6" s="2"/>
      <c r="M6" s="3"/>
      <c r="N6" s="3"/>
      <c r="O6" s="3"/>
      <c r="P6" s="3"/>
      <c r="Q6" s="3"/>
      <c r="R6" s="3"/>
    </row>
    <row r="7" spans="1:18" x14ac:dyDescent="0.35">
      <c r="A7" s="2"/>
      <c r="B7" s="2"/>
      <c r="C7" s="2"/>
      <c r="D7" s="2"/>
      <c r="E7" s="2"/>
      <c r="F7" s="2"/>
      <c r="G7" s="2"/>
      <c r="H7" s="2"/>
      <c r="I7" s="2"/>
      <c r="J7" s="2"/>
      <c r="K7" s="2"/>
      <c r="L7" s="2"/>
      <c r="M7" s="3"/>
      <c r="N7" s="3"/>
      <c r="O7" s="3"/>
      <c r="P7" s="3"/>
      <c r="Q7" s="3"/>
      <c r="R7" s="3"/>
    </row>
    <row r="8" spans="1:18" x14ac:dyDescent="0.35">
      <c r="A8" s="2"/>
      <c r="B8" s="2"/>
      <c r="C8" s="2"/>
      <c r="D8" s="2"/>
      <c r="E8" s="2"/>
      <c r="F8" s="2"/>
      <c r="G8" s="2"/>
      <c r="H8" s="2"/>
      <c r="I8" s="2"/>
      <c r="J8" s="2"/>
      <c r="K8" s="2"/>
      <c r="L8" s="2"/>
      <c r="M8" s="3"/>
      <c r="N8" s="3"/>
      <c r="O8" s="3"/>
      <c r="P8" s="3"/>
      <c r="Q8" s="3"/>
      <c r="R8" s="3"/>
    </row>
    <row r="9" spans="1:18" x14ac:dyDescent="0.35">
      <c r="A9" s="2"/>
      <c r="B9" s="2"/>
      <c r="C9" s="2"/>
      <c r="D9" s="2"/>
      <c r="E9" s="2"/>
      <c r="F9" s="2"/>
      <c r="G9" s="2"/>
      <c r="H9" s="2"/>
      <c r="I9" s="2"/>
      <c r="J9" s="2"/>
      <c r="K9" s="2"/>
      <c r="L9" s="2"/>
      <c r="M9" s="3"/>
      <c r="N9" s="3"/>
      <c r="O9" s="3"/>
      <c r="P9" s="3"/>
      <c r="Q9" s="3"/>
      <c r="R9" s="3"/>
    </row>
    <row r="10" spans="1:18" x14ac:dyDescent="0.35">
      <c r="A10" s="2"/>
      <c r="B10" s="2"/>
      <c r="C10" s="2"/>
      <c r="D10" s="2"/>
      <c r="E10" s="2"/>
      <c r="F10" s="2"/>
      <c r="G10" s="2"/>
      <c r="H10" s="2"/>
      <c r="I10" s="2"/>
      <c r="J10" s="2"/>
      <c r="K10" s="2"/>
      <c r="L10" s="2"/>
      <c r="M10" s="3"/>
      <c r="N10" s="3"/>
      <c r="O10" s="3"/>
      <c r="P10" s="3"/>
      <c r="Q10" s="3"/>
      <c r="R10" s="3"/>
    </row>
    <row r="11" spans="1:18" x14ac:dyDescent="0.35">
      <c r="A11" s="2"/>
      <c r="B11" s="2"/>
      <c r="C11" s="2"/>
      <c r="D11" s="2"/>
      <c r="E11" s="2"/>
      <c r="F11" s="2"/>
      <c r="G11" s="2"/>
      <c r="H11" s="2"/>
      <c r="I11" s="2"/>
      <c r="J11" s="2"/>
      <c r="K11" s="2"/>
      <c r="L11" s="2"/>
      <c r="M11" s="3"/>
      <c r="N11" s="3"/>
      <c r="O11" s="3"/>
      <c r="P11" s="3"/>
      <c r="Q11" s="3"/>
      <c r="R11" s="3"/>
    </row>
    <row r="12" spans="1:18" x14ac:dyDescent="0.35">
      <c r="A12" s="2"/>
      <c r="B12" s="2"/>
      <c r="C12" s="2"/>
      <c r="D12" s="2"/>
      <c r="E12" s="2"/>
      <c r="F12" s="2"/>
      <c r="G12" s="2"/>
      <c r="H12" s="2"/>
      <c r="I12" s="2"/>
      <c r="J12" s="2"/>
      <c r="K12" s="2"/>
      <c r="L12" s="2"/>
      <c r="M12" s="3"/>
      <c r="N12" s="3"/>
      <c r="O12" s="3"/>
      <c r="P12" s="3"/>
      <c r="Q12" s="3"/>
      <c r="R12" s="3"/>
    </row>
    <row r="13" spans="1:18" x14ac:dyDescent="0.35">
      <c r="A13" s="2"/>
      <c r="B13" s="2"/>
      <c r="C13" s="2"/>
      <c r="D13" s="2"/>
      <c r="E13" s="2"/>
      <c r="F13" s="2"/>
      <c r="G13" s="2"/>
      <c r="H13" s="2"/>
      <c r="I13" s="2"/>
      <c r="J13" s="2"/>
      <c r="K13" s="2"/>
      <c r="L13" s="2"/>
      <c r="M13" s="3"/>
      <c r="N13" s="3"/>
      <c r="O13" s="3"/>
      <c r="P13" s="3"/>
      <c r="Q13" s="3"/>
      <c r="R13" s="3"/>
    </row>
    <row r="14" spans="1:18" x14ac:dyDescent="0.35">
      <c r="A14" s="2"/>
      <c r="B14" s="2"/>
      <c r="C14" s="2"/>
      <c r="D14" s="2"/>
      <c r="E14" s="2"/>
      <c r="F14" s="2"/>
      <c r="G14" s="2"/>
      <c r="H14" s="2"/>
      <c r="I14" s="2"/>
      <c r="J14" s="2"/>
      <c r="K14" s="2"/>
      <c r="L14" s="2"/>
      <c r="M14" s="3"/>
      <c r="N14" s="3"/>
      <c r="O14" s="3"/>
      <c r="P14" s="3"/>
      <c r="Q14" s="3"/>
      <c r="R14" s="3"/>
    </row>
    <row r="15" spans="1:18" x14ac:dyDescent="0.35">
      <c r="A15" s="2"/>
      <c r="B15" s="2"/>
      <c r="C15" s="2"/>
      <c r="D15" s="2"/>
      <c r="E15" s="2"/>
      <c r="F15" s="2"/>
      <c r="G15" s="2"/>
      <c r="H15" s="2"/>
      <c r="I15" s="2"/>
      <c r="J15" s="2"/>
      <c r="K15" s="2"/>
      <c r="L15" s="2"/>
      <c r="M15" s="3"/>
      <c r="N15" s="3"/>
      <c r="O15" s="3"/>
      <c r="P15" s="3"/>
      <c r="Q15" s="3"/>
      <c r="R15" s="3"/>
    </row>
    <row r="16" spans="1:18" x14ac:dyDescent="0.35">
      <c r="A16" s="2"/>
      <c r="B16" s="2"/>
      <c r="C16" s="2"/>
      <c r="D16" s="2"/>
      <c r="E16" s="2"/>
      <c r="F16" s="2"/>
      <c r="G16" s="2"/>
      <c r="H16" s="2"/>
      <c r="I16" s="2"/>
      <c r="J16" s="2"/>
      <c r="K16" s="2"/>
      <c r="L16" s="2"/>
      <c r="M16" s="3"/>
      <c r="N16" s="3"/>
      <c r="O16" s="3"/>
      <c r="P16" s="3"/>
      <c r="Q16" s="3"/>
      <c r="R16" s="3"/>
    </row>
    <row r="17" spans="1:18" x14ac:dyDescent="0.35">
      <c r="A17" s="2"/>
      <c r="B17" s="2"/>
      <c r="C17" s="2"/>
      <c r="D17" s="2"/>
      <c r="E17" s="2"/>
      <c r="F17" s="2"/>
      <c r="G17" s="2"/>
      <c r="H17" s="2"/>
      <c r="I17" s="2"/>
      <c r="J17" s="2"/>
      <c r="K17" s="2"/>
      <c r="L17" s="2"/>
      <c r="M17" s="3"/>
      <c r="N17" s="3"/>
      <c r="O17" s="3"/>
      <c r="P17" s="3"/>
      <c r="Q17" s="3"/>
      <c r="R17" s="3"/>
    </row>
    <row r="18" spans="1:18" x14ac:dyDescent="0.35">
      <c r="A18" s="2"/>
      <c r="B18" s="2"/>
      <c r="C18" s="2"/>
      <c r="D18" s="2"/>
      <c r="E18" s="2"/>
      <c r="F18" s="2"/>
      <c r="G18" s="2"/>
      <c r="H18" s="2"/>
      <c r="I18" s="2"/>
      <c r="J18" s="2"/>
      <c r="K18" s="2"/>
      <c r="L18" s="2"/>
      <c r="M18" s="3"/>
      <c r="N18" s="3"/>
      <c r="O18" s="3"/>
      <c r="P18" s="3"/>
      <c r="Q18" s="3"/>
      <c r="R18" s="3"/>
    </row>
    <row r="19" spans="1:18" x14ac:dyDescent="0.35">
      <c r="A19" s="2"/>
      <c r="B19" s="2"/>
      <c r="C19" s="2"/>
      <c r="D19" s="2"/>
      <c r="E19" s="2"/>
      <c r="F19" s="2"/>
      <c r="G19" s="2"/>
      <c r="H19" s="2"/>
      <c r="I19" s="2"/>
      <c r="J19" s="2"/>
      <c r="K19" s="2"/>
      <c r="L19" s="2"/>
      <c r="M19" s="3"/>
      <c r="N19" s="3"/>
      <c r="O19" s="3"/>
      <c r="P19" s="3"/>
      <c r="Q19" s="3"/>
      <c r="R19" s="3"/>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766E5-0B9C-4DEB-B737-ED44762F8153}">
  <dimension ref="A1:S19"/>
  <sheetViews>
    <sheetView zoomScale="102" zoomScaleNormal="110" workbookViewId="0">
      <selection activeCell="R1" sqref="R1"/>
    </sheetView>
  </sheetViews>
  <sheetFormatPr defaultRowHeight="14.5" x14ac:dyDescent="0.35"/>
  <cols>
    <col min="10" max="10" width="9.453125" customWidth="1"/>
  </cols>
  <sheetData>
    <row r="1" spans="1:19" x14ac:dyDescent="0.35">
      <c r="A1" s="3"/>
      <c r="B1" s="3"/>
      <c r="C1" s="3"/>
      <c r="D1" s="3"/>
      <c r="E1" s="3"/>
      <c r="F1" s="3"/>
      <c r="G1" s="3"/>
      <c r="H1" s="3"/>
      <c r="I1" s="3"/>
      <c r="J1" s="3"/>
      <c r="K1" s="3"/>
      <c r="L1" s="3"/>
      <c r="M1" s="3"/>
      <c r="N1" s="3"/>
      <c r="O1" s="3"/>
      <c r="P1" s="3"/>
      <c r="Q1" s="3"/>
      <c r="R1" s="3"/>
      <c r="S1" s="15"/>
    </row>
    <row r="2" spans="1:19" x14ac:dyDescent="0.35">
      <c r="A2" s="3"/>
      <c r="B2" s="3"/>
      <c r="C2" s="3"/>
      <c r="D2" s="3"/>
      <c r="E2" s="3"/>
      <c r="F2" s="3"/>
      <c r="G2" s="3"/>
      <c r="H2" s="3"/>
      <c r="I2" s="3"/>
      <c r="J2" s="3"/>
      <c r="K2" s="3"/>
      <c r="L2" s="3"/>
      <c r="M2" s="3"/>
      <c r="N2" s="3"/>
      <c r="O2" s="3"/>
      <c r="P2" s="3"/>
      <c r="Q2" s="3"/>
      <c r="R2" s="3"/>
      <c r="S2" s="15"/>
    </row>
    <row r="3" spans="1:19" x14ac:dyDescent="0.35">
      <c r="A3" s="3"/>
      <c r="B3" s="3"/>
      <c r="C3" s="3"/>
      <c r="D3" s="3"/>
      <c r="E3" s="3"/>
      <c r="F3" s="3"/>
      <c r="G3" s="3"/>
      <c r="H3" s="3"/>
      <c r="I3" s="3"/>
      <c r="J3" s="3"/>
      <c r="K3" s="3"/>
      <c r="L3" s="3"/>
      <c r="M3" s="3"/>
      <c r="N3" s="3"/>
      <c r="O3" s="3"/>
      <c r="P3" s="3"/>
      <c r="Q3" s="3"/>
      <c r="R3" s="3"/>
      <c r="S3" s="15"/>
    </row>
    <row r="4" spans="1:19" x14ac:dyDescent="0.35">
      <c r="A4" s="3"/>
      <c r="B4" s="3"/>
      <c r="C4" s="3"/>
      <c r="D4" s="3"/>
      <c r="E4" s="3"/>
      <c r="F4" s="3"/>
      <c r="G4" s="3"/>
      <c r="H4" s="3"/>
      <c r="I4" s="3"/>
      <c r="J4" s="3"/>
      <c r="K4" s="3"/>
      <c r="L4" s="3"/>
      <c r="M4" s="3"/>
      <c r="N4" s="3"/>
      <c r="O4" s="3"/>
      <c r="P4" s="3"/>
      <c r="Q4" s="3"/>
      <c r="R4" s="3"/>
      <c r="S4" s="15"/>
    </row>
    <row r="5" spans="1:19" x14ac:dyDescent="0.35">
      <c r="A5" s="3"/>
      <c r="B5" s="3"/>
      <c r="C5" s="3"/>
      <c r="D5" s="3"/>
      <c r="E5" s="3"/>
      <c r="F5" s="3"/>
      <c r="G5" s="3"/>
      <c r="H5" s="3"/>
      <c r="I5" s="3"/>
      <c r="J5" s="3"/>
      <c r="K5" s="3"/>
      <c r="L5" s="3"/>
      <c r="M5" s="3"/>
      <c r="N5" s="3"/>
      <c r="O5" s="3"/>
      <c r="P5" s="3"/>
      <c r="Q5" s="3"/>
      <c r="R5" s="3"/>
      <c r="S5" s="15"/>
    </row>
    <row r="6" spans="1:19" x14ac:dyDescent="0.35">
      <c r="A6" s="3"/>
      <c r="B6" s="3"/>
      <c r="C6" s="3"/>
      <c r="D6" s="3"/>
      <c r="E6" s="3"/>
      <c r="F6" s="3"/>
      <c r="G6" s="3"/>
      <c r="H6" s="3"/>
      <c r="I6" s="3"/>
      <c r="J6" s="3"/>
      <c r="K6" s="3"/>
      <c r="L6" s="3"/>
      <c r="M6" s="3"/>
      <c r="N6" s="3"/>
      <c r="O6" s="23"/>
      <c r="P6" s="3"/>
      <c r="Q6" s="3"/>
      <c r="R6" s="3"/>
      <c r="S6" s="15"/>
    </row>
    <row r="7" spans="1:19" x14ac:dyDescent="0.35">
      <c r="A7" s="3"/>
      <c r="B7" s="3"/>
      <c r="C7" s="3"/>
      <c r="D7" s="3"/>
      <c r="E7" s="3"/>
      <c r="F7" s="3"/>
      <c r="G7" s="3"/>
      <c r="H7" s="3"/>
      <c r="I7" s="3"/>
      <c r="J7" s="3"/>
      <c r="K7" s="3"/>
      <c r="L7" s="3"/>
      <c r="M7" s="3"/>
      <c r="N7" s="3"/>
      <c r="O7" s="3"/>
      <c r="P7" s="3"/>
      <c r="Q7" s="3"/>
      <c r="R7" s="3"/>
      <c r="S7" s="15"/>
    </row>
    <row r="8" spans="1:19" x14ac:dyDescent="0.35">
      <c r="A8" s="3"/>
      <c r="B8" s="3"/>
      <c r="C8" s="3"/>
      <c r="D8" s="3"/>
      <c r="E8" s="3"/>
      <c r="F8" s="3"/>
      <c r="G8" s="3"/>
      <c r="H8" s="3"/>
      <c r="I8" s="3"/>
      <c r="J8" s="3"/>
      <c r="K8" s="3"/>
      <c r="L8" s="3"/>
      <c r="M8" s="3"/>
      <c r="N8" s="3"/>
      <c r="O8" s="3"/>
      <c r="P8" s="3"/>
      <c r="Q8" s="3"/>
      <c r="R8" s="3"/>
      <c r="S8" s="15"/>
    </row>
    <row r="9" spans="1:19" x14ac:dyDescent="0.35">
      <c r="A9" s="3"/>
      <c r="B9" s="3"/>
      <c r="C9" s="3"/>
      <c r="D9" s="3"/>
      <c r="E9" s="3"/>
      <c r="F9" s="3"/>
      <c r="G9" s="3"/>
      <c r="H9" s="3"/>
      <c r="I9" s="3"/>
      <c r="J9" s="3"/>
      <c r="K9" s="3"/>
      <c r="L9" s="3"/>
      <c r="M9" s="3"/>
      <c r="N9" s="3"/>
      <c r="O9" s="3"/>
      <c r="P9" s="3"/>
      <c r="Q9" s="3"/>
      <c r="R9" s="3"/>
      <c r="S9" s="15"/>
    </row>
    <row r="10" spans="1:19" x14ac:dyDescent="0.35">
      <c r="A10" s="3"/>
      <c r="B10" s="3"/>
      <c r="C10" s="3"/>
      <c r="D10" s="3"/>
      <c r="E10" s="3"/>
      <c r="F10" s="3"/>
      <c r="G10" s="3"/>
      <c r="H10" s="3"/>
      <c r="I10" s="3"/>
      <c r="J10" s="3"/>
      <c r="K10" s="3"/>
      <c r="L10" s="3"/>
      <c r="M10" s="3"/>
      <c r="N10" s="3"/>
      <c r="O10" s="3"/>
      <c r="P10" s="3"/>
      <c r="Q10" s="3"/>
      <c r="R10" s="3"/>
      <c r="S10" s="15"/>
    </row>
    <row r="11" spans="1:19" x14ac:dyDescent="0.35">
      <c r="A11" s="3"/>
      <c r="B11" s="3"/>
      <c r="C11" s="3"/>
      <c r="D11" s="3"/>
      <c r="E11" s="3"/>
      <c r="F11" s="3"/>
      <c r="G11" s="3"/>
      <c r="H11" s="3"/>
      <c r="I11" s="3"/>
      <c r="J11" s="3"/>
      <c r="K11" s="3"/>
      <c r="L11" s="3"/>
      <c r="M11" s="3"/>
      <c r="N11" s="3"/>
      <c r="O11" s="3"/>
      <c r="P11" s="3"/>
      <c r="Q11" s="3"/>
      <c r="R11" s="3"/>
      <c r="S11" s="15"/>
    </row>
    <row r="12" spans="1:19" x14ac:dyDescent="0.35">
      <c r="A12" s="3"/>
      <c r="B12" s="3"/>
      <c r="C12" s="3"/>
      <c r="D12" s="3"/>
      <c r="E12" s="3"/>
      <c r="F12" s="3"/>
      <c r="G12" s="3"/>
      <c r="H12" s="3"/>
      <c r="I12" s="3"/>
      <c r="J12" s="3"/>
      <c r="K12" s="3"/>
      <c r="L12" s="3"/>
      <c r="M12" s="3"/>
      <c r="N12" s="3"/>
      <c r="O12" s="3"/>
      <c r="P12" s="3"/>
      <c r="Q12" s="3"/>
      <c r="R12" s="3"/>
      <c r="S12" s="15"/>
    </row>
    <row r="13" spans="1:19" x14ac:dyDescent="0.35">
      <c r="A13" s="3"/>
      <c r="B13" s="3"/>
      <c r="C13" s="3"/>
      <c r="D13" s="3"/>
      <c r="E13" s="3"/>
      <c r="F13" s="3"/>
      <c r="G13" s="3"/>
      <c r="H13" s="3"/>
      <c r="I13" s="3"/>
      <c r="J13" s="3"/>
      <c r="K13" s="3"/>
      <c r="L13" s="3"/>
      <c r="M13" s="3"/>
      <c r="N13" s="3"/>
      <c r="O13" s="3"/>
      <c r="P13" s="3"/>
      <c r="Q13" s="3"/>
      <c r="R13" s="3"/>
      <c r="S13" s="15"/>
    </row>
    <row r="14" spans="1:19" x14ac:dyDescent="0.35">
      <c r="A14" s="3"/>
      <c r="B14" s="3"/>
      <c r="C14" s="3"/>
      <c r="D14" s="3"/>
      <c r="E14" s="3"/>
      <c r="F14" s="3"/>
      <c r="G14" s="3"/>
      <c r="H14" s="3"/>
      <c r="I14" s="3"/>
      <c r="J14" s="3"/>
      <c r="K14" s="3"/>
      <c r="L14" s="3"/>
      <c r="M14" s="3"/>
      <c r="N14" s="3"/>
      <c r="O14" s="3"/>
      <c r="P14" s="3"/>
      <c r="Q14" s="3"/>
      <c r="R14" s="3"/>
      <c r="S14" s="15"/>
    </row>
    <row r="15" spans="1:19" x14ac:dyDescent="0.35">
      <c r="A15" s="3"/>
      <c r="B15" s="3"/>
      <c r="C15" s="3"/>
      <c r="D15" s="3"/>
      <c r="E15" s="3"/>
      <c r="F15" s="3"/>
      <c r="G15" s="3"/>
      <c r="H15" s="3"/>
      <c r="I15" s="3"/>
      <c r="J15" s="3"/>
      <c r="K15" s="3"/>
      <c r="L15" s="3"/>
      <c r="M15" s="3"/>
      <c r="N15" s="3"/>
      <c r="O15" s="3"/>
      <c r="P15" s="3"/>
      <c r="Q15" s="3"/>
      <c r="R15" s="3"/>
      <c r="S15" s="15"/>
    </row>
    <row r="16" spans="1:19" x14ac:dyDescent="0.35">
      <c r="A16" s="3"/>
      <c r="B16" s="3"/>
      <c r="C16" s="3"/>
      <c r="D16" s="3"/>
      <c r="E16" s="3"/>
      <c r="F16" s="3"/>
      <c r="G16" s="3"/>
      <c r="H16" s="3"/>
      <c r="I16" s="3"/>
      <c r="J16" s="3"/>
      <c r="K16" s="3"/>
      <c r="L16" s="3"/>
      <c r="M16" s="3"/>
      <c r="N16" s="3"/>
      <c r="O16" s="3"/>
      <c r="P16" s="3"/>
      <c r="Q16" s="3"/>
      <c r="R16" s="3"/>
      <c r="S16" s="15"/>
    </row>
    <row r="17" spans="1:19" x14ac:dyDescent="0.35">
      <c r="A17" s="3"/>
      <c r="B17" s="3"/>
      <c r="C17" s="3"/>
      <c r="D17" s="3"/>
      <c r="E17" s="3"/>
      <c r="F17" s="3"/>
      <c r="G17" s="3"/>
      <c r="H17" s="3"/>
      <c r="I17" s="3"/>
      <c r="J17" s="3"/>
      <c r="K17" s="3"/>
      <c r="L17" s="3"/>
      <c r="M17" s="3"/>
      <c r="N17" s="3"/>
      <c r="O17" s="3"/>
      <c r="P17" s="3"/>
      <c r="Q17" s="3"/>
      <c r="R17" s="3"/>
      <c r="S17" s="15"/>
    </row>
    <row r="18" spans="1:19" x14ac:dyDescent="0.35">
      <c r="A18" s="3"/>
      <c r="B18" s="3"/>
      <c r="C18" s="3"/>
      <c r="D18" s="3"/>
      <c r="E18" s="3"/>
      <c r="F18" s="3"/>
      <c r="G18" s="3"/>
      <c r="H18" s="3"/>
      <c r="I18" s="3"/>
      <c r="J18" s="3"/>
      <c r="K18" s="3"/>
      <c r="L18" s="3"/>
      <c r="M18" s="3"/>
      <c r="N18" s="3"/>
      <c r="O18" s="3"/>
      <c r="P18" s="3"/>
      <c r="Q18" s="3"/>
      <c r="R18" s="3"/>
      <c r="S18" s="15"/>
    </row>
    <row r="19" spans="1:19" x14ac:dyDescent="0.35">
      <c r="A19" s="3"/>
      <c r="B19" s="3"/>
      <c r="C19" s="3"/>
      <c r="D19" s="3"/>
      <c r="E19" s="3"/>
      <c r="F19" s="3"/>
      <c r="G19" s="3"/>
      <c r="H19" s="3"/>
      <c r="I19" s="3"/>
      <c r="J19" s="3"/>
      <c r="K19" s="3"/>
      <c r="L19" s="3"/>
      <c r="M19" s="3"/>
      <c r="N19" s="3"/>
      <c r="O19" s="3"/>
      <c r="P19" s="3"/>
      <c r="Q19" s="3"/>
      <c r="R19" s="3"/>
      <c r="S19" s="15"/>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20841-BEEA-4E73-9ECB-1C2D8B31656E}">
  <dimension ref="A1:R19"/>
  <sheetViews>
    <sheetView showGridLines="0" zoomScale="102" zoomScaleNormal="110" workbookViewId="0">
      <selection activeCell="S7" sqref="S7"/>
    </sheetView>
  </sheetViews>
  <sheetFormatPr defaultRowHeight="14.5" x14ac:dyDescent="0.35"/>
  <sheetData>
    <row r="1" spans="1:18" x14ac:dyDescent="0.35">
      <c r="A1" s="3"/>
      <c r="B1" s="3"/>
      <c r="C1" s="3"/>
      <c r="D1" s="3"/>
      <c r="E1" s="3"/>
      <c r="F1" s="3"/>
      <c r="G1" s="3"/>
      <c r="H1" s="3"/>
      <c r="I1" s="3"/>
      <c r="J1" s="3"/>
      <c r="K1" s="3"/>
      <c r="L1" s="3"/>
      <c r="M1" s="3"/>
      <c r="N1" s="3"/>
      <c r="O1" s="3"/>
      <c r="P1" s="3"/>
      <c r="Q1" s="3"/>
      <c r="R1" s="3"/>
    </row>
    <row r="2" spans="1:18" x14ac:dyDescent="0.35">
      <c r="A2" s="3"/>
      <c r="B2" s="3"/>
      <c r="C2" s="3"/>
      <c r="D2" s="3"/>
      <c r="E2" s="3"/>
      <c r="F2" s="3"/>
      <c r="G2" s="3"/>
      <c r="H2" s="3"/>
      <c r="I2" s="3"/>
      <c r="J2" s="3"/>
      <c r="K2" s="3"/>
      <c r="L2" s="3"/>
      <c r="M2" s="3"/>
      <c r="N2" s="3"/>
      <c r="O2" s="3"/>
      <c r="P2" s="3"/>
      <c r="Q2" s="3"/>
      <c r="R2" s="3"/>
    </row>
    <row r="3" spans="1:18" x14ac:dyDescent="0.35">
      <c r="A3" s="3"/>
      <c r="B3" s="3"/>
      <c r="C3" s="3"/>
      <c r="D3" s="3"/>
      <c r="E3" s="3"/>
      <c r="F3" s="3"/>
      <c r="G3" s="3"/>
      <c r="H3" s="3"/>
      <c r="I3" s="3"/>
      <c r="J3" s="3"/>
      <c r="K3" s="3"/>
      <c r="L3" s="3"/>
      <c r="M3" s="3"/>
      <c r="N3" s="3"/>
      <c r="O3" s="3"/>
      <c r="P3" s="3"/>
      <c r="Q3" s="3"/>
      <c r="R3" s="3"/>
    </row>
    <row r="4" spans="1:18" x14ac:dyDescent="0.35">
      <c r="A4" s="3"/>
      <c r="B4" s="3"/>
      <c r="C4" s="3"/>
      <c r="D4" s="3"/>
      <c r="E4" s="3"/>
      <c r="F4" s="3"/>
      <c r="G4" s="3"/>
      <c r="H4" s="3"/>
      <c r="I4" s="3"/>
      <c r="J4" s="3"/>
      <c r="K4" s="3"/>
      <c r="L4" s="3"/>
      <c r="M4" s="3"/>
      <c r="N4" s="3"/>
      <c r="O4" s="3"/>
      <c r="P4" s="3"/>
      <c r="Q4" s="3"/>
      <c r="R4" s="3"/>
    </row>
    <row r="5" spans="1:18" x14ac:dyDescent="0.35">
      <c r="A5" s="3"/>
      <c r="B5" s="3"/>
      <c r="C5" s="3"/>
      <c r="D5" s="3"/>
      <c r="E5" s="3"/>
      <c r="F5" s="3"/>
      <c r="G5" s="3"/>
      <c r="H5" s="3"/>
      <c r="I5" s="3"/>
      <c r="J5" s="3"/>
      <c r="K5" s="3"/>
      <c r="L5" s="3"/>
      <c r="M5" s="3"/>
      <c r="N5" s="3"/>
      <c r="O5" s="3"/>
      <c r="P5" s="3"/>
      <c r="Q5" s="3"/>
      <c r="R5" s="3"/>
    </row>
    <row r="6" spans="1:18" x14ac:dyDescent="0.35">
      <c r="A6" s="3"/>
      <c r="B6" s="3"/>
      <c r="C6" s="3"/>
      <c r="D6" s="3"/>
      <c r="E6" s="3"/>
      <c r="F6" s="3"/>
      <c r="G6" s="3"/>
      <c r="H6" s="3"/>
      <c r="I6" s="3"/>
      <c r="J6" s="3"/>
      <c r="K6" s="3"/>
      <c r="L6" s="3"/>
      <c r="M6" s="3"/>
      <c r="N6" s="3"/>
      <c r="O6" s="23"/>
      <c r="P6" s="3"/>
      <c r="Q6" s="3"/>
      <c r="R6" s="3"/>
    </row>
    <row r="7" spans="1:18" x14ac:dyDescent="0.35">
      <c r="A7" s="3"/>
      <c r="B7" s="3"/>
      <c r="C7" s="3"/>
      <c r="D7" s="3"/>
      <c r="E7" s="3"/>
      <c r="F7" s="3"/>
      <c r="G7" s="3"/>
      <c r="H7" s="3"/>
      <c r="I7" s="3"/>
      <c r="J7" s="3"/>
      <c r="K7" s="3"/>
      <c r="L7" s="3"/>
      <c r="M7" s="3"/>
      <c r="N7" s="3"/>
      <c r="O7" s="3"/>
      <c r="P7" s="3"/>
      <c r="Q7" s="3"/>
      <c r="R7" s="3"/>
    </row>
    <row r="8" spans="1:18" x14ac:dyDescent="0.35">
      <c r="A8" s="3"/>
      <c r="B8" s="3"/>
      <c r="C8" s="3"/>
      <c r="D8" s="3"/>
      <c r="E8" s="3"/>
      <c r="F8" s="3"/>
      <c r="G8" s="3"/>
      <c r="H8" s="3"/>
      <c r="I8" s="3"/>
      <c r="J8" s="3"/>
      <c r="K8" s="3"/>
      <c r="L8" s="3"/>
      <c r="M8" s="3"/>
      <c r="N8" s="3"/>
      <c r="O8" s="3"/>
      <c r="P8" s="3"/>
      <c r="Q8" s="3"/>
      <c r="R8" s="3"/>
    </row>
    <row r="9" spans="1:18" x14ac:dyDescent="0.35">
      <c r="A9" s="3"/>
      <c r="B9" s="3"/>
      <c r="C9" s="3"/>
      <c r="D9" s="3"/>
      <c r="E9" s="3"/>
      <c r="F9" s="3"/>
      <c r="G9" s="3"/>
      <c r="H9" s="3"/>
      <c r="I9" s="3"/>
      <c r="J9" s="3"/>
      <c r="K9" s="3"/>
      <c r="L9" s="3"/>
      <c r="M9" s="3"/>
      <c r="N9" s="3"/>
      <c r="O9" s="3"/>
      <c r="P9" s="3"/>
      <c r="Q9" s="3"/>
      <c r="R9" s="3"/>
    </row>
    <row r="10" spans="1:18" x14ac:dyDescent="0.35">
      <c r="A10" s="3"/>
      <c r="B10" s="3"/>
      <c r="C10" s="3"/>
      <c r="D10" s="3"/>
      <c r="E10" s="3"/>
      <c r="F10" s="3"/>
      <c r="G10" s="3"/>
      <c r="H10" s="3"/>
      <c r="I10" s="3"/>
      <c r="J10" s="3"/>
      <c r="K10" s="3"/>
      <c r="L10" s="3"/>
      <c r="M10" s="3"/>
      <c r="N10" s="3"/>
      <c r="O10" s="3"/>
      <c r="P10" s="3"/>
      <c r="Q10" s="3"/>
      <c r="R10" s="3"/>
    </row>
    <row r="11" spans="1:18" x14ac:dyDescent="0.35">
      <c r="A11" s="3"/>
      <c r="B11" s="3"/>
      <c r="C11" s="3"/>
      <c r="D11" s="3"/>
      <c r="E11" s="3"/>
      <c r="F11" s="3"/>
      <c r="G11" s="3"/>
      <c r="H11" s="3"/>
      <c r="I11" s="3"/>
      <c r="J11" s="3"/>
      <c r="K11" s="3"/>
      <c r="L11" s="3"/>
      <c r="M11" s="3"/>
      <c r="N11" s="3"/>
      <c r="O11" s="3"/>
      <c r="P11" s="3"/>
      <c r="Q11" s="3"/>
      <c r="R11" s="3"/>
    </row>
    <row r="12" spans="1:18" x14ac:dyDescent="0.35">
      <c r="A12" s="3"/>
      <c r="B12" s="3"/>
      <c r="C12" s="3"/>
      <c r="D12" s="3"/>
      <c r="E12" s="3"/>
      <c r="F12" s="3"/>
      <c r="G12" s="3"/>
      <c r="H12" s="3"/>
      <c r="I12" s="3"/>
      <c r="J12" s="3"/>
      <c r="K12" s="3"/>
      <c r="L12" s="3"/>
      <c r="M12" s="3"/>
      <c r="N12" s="3"/>
      <c r="O12" s="3"/>
      <c r="P12" s="3"/>
      <c r="Q12" s="3"/>
      <c r="R12" s="3"/>
    </row>
    <row r="13" spans="1:18" x14ac:dyDescent="0.35">
      <c r="A13" s="3"/>
      <c r="B13" s="3"/>
      <c r="C13" s="3"/>
      <c r="D13" s="3"/>
      <c r="E13" s="3"/>
      <c r="F13" s="3"/>
      <c r="G13" s="3"/>
      <c r="H13" s="3"/>
      <c r="I13" s="3"/>
      <c r="J13" s="3"/>
      <c r="K13" s="3"/>
      <c r="L13" s="3"/>
      <c r="M13" s="3"/>
      <c r="N13" s="3"/>
      <c r="O13" s="3"/>
      <c r="P13" s="3"/>
      <c r="Q13" s="3"/>
      <c r="R13" s="3"/>
    </row>
    <row r="14" spans="1:18" x14ac:dyDescent="0.35">
      <c r="A14" s="3"/>
      <c r="B14" s="3"/>
      <c r="C14" s="3"/>
      <c r="D14" s="3"/>
      <c r="E14" s="3"/>
      <c r="F14" s="3"/>
      <c r="G14" s="3"/>
      <c r="H14" s="3"/>
      <c r="I14" s="3"/>
      <c r="J14" s="3"/>
      <c r="K14" s="3"/>
      <c r="L14" s="3"/>
      <c r="M14" s="3"/>
      <c r="N14" s="3"/>
      <c r="O14" s="3"/>
      <c r="P14" s="3"/>
      <c r="Q14" s="3"/>
      <c r="R14" s="3"/>
    </row>
    <row r="15" spans="1:18" x14ac:dyDescent="0.35">
      <c r="A15" s="3"/>
      <c r="B15" s="3"/>
      <c r="C15" s="3"/>
      <c r="D15" s="3"/>
      <c r="E15" s="3"/>
      <c r="F15" s="3"/>
      <c r="G15" s="3"/>
      <c r="H15" s="3"/>
      <c r="I15" s="3"/>
      <c r="J15" s="3"/>
      <c r="K15" s="3"/>
      <c r="L15" s="3"/>
      <c r="M15" s="3"/>
      <c r="N15" s="3"/>
      <c r="O15" s="3"/>
      <c r="P15" s="3"/>
      <c r="Q15" s="3"/>
      <c r="R15" s="3"/>
    </row>
    <row r="16" spans="1:18" x14ac:dyDescent="0.35">
      <c r="A16" s="3"/>
      <c r="B16" s="3"/>
      <c r="C16" s="3"/>
      <c r="D16" s="3"/>
      <c r="E16" s="3"/>
      <c r="F16" s="3"/>
      <c r="G16" s="3"/>
      <c r="H16" s="3"/>
      <c r="I16" s="3"/>
      <c r="J16" s="3"/>
      <c r="K16" s="3"/>
      <c r="L16" s="3"/>
      <c r="M16" s="3"/>
      <c r="N16" s="3"/>
      <c r="O16" s="3"/>
      <c r="P16" s="3"/>
      <c r="Q16" s="3"/>
      <c r="R16" s="3"/>
    </row>
    <row r="17" spans="1:18" x14ac:dyDescent="0.35">
      <c r="A17" s="3"/>
      <c r="B17" s="3"/>
      <c r="C17" s="3"/>
      <c r="D17" s="3"/>
      <c r="E17" s="3"/>
      <c r="F17" s="3"/>
      <c r="G17" s="3"/>
      <c r="H17" s="3"/>
      <c r="I17" s="3"/>
      <c r="J17" s="3"/>
      <c r="K17" s="3"/>
      <c r="L17" s="3"/>
      <c r="M17" s="3"/>
      <c r="N17" s="3"/>
      <c r="O17" s="3"/>
      <c r="P17" s="3"/>
      <c r="Q17" s="3"/>
      <c r="R17" s="3"/>
    </row>
    <row r="18" spans="1:18" x14ac:dyDescent="0.35">
      <c r="A18" s="3"/>
      <c r="B18" s="3"/>
      <c r="C18" s="3"/>
      <c r="D18" s="3"/>
      <c r="E18" s="3"/>
      <c r="F18" s="3"/>
      <c r="G18" s="3"/>
      <c r="H18" s="3"/>
      <c r="I18" s="3"/>
      <c r="J18" s="3"/>
      <c r="K18" s="3"/>
      <c r="L18" s="3"/>
      <c r="M18" s="3"/>
      <c r="N18" s="3"/>
      <c r="O18" s="3"/>
      <c r="P18" s="3"/>
      <c r="Q18" s="3"/>
      <c r="R18" s="3"/>
    </row>
    <row r="19" spans="1:18" x14ac:dyDescent="0.35">
      <c r="A19" s="3"/>
      <c r="B19" s="3"/>
      <c r="C19" s="3"/>
      <c r="D19" s="3"/>
      <c r="E19" s="3"/>
      <c r="F19" s="3"/>
      <c r="G19" s="3"/>
      <c r="H19" s="3"/>
      <c r="I19" s="3"/>
      <c r="J19" s="3"/>
      <c r="K19" s="3"/>
      <c r="L19" s="3"/>
      <c r="M19" s="3"/>
      <c r="N19" s="3"/>
      <c r="O19" s="3"/>
      <c r="P19" s="3"/>
      <c r="Q19" s="3"/>
      <c r="R19" s="3"/>
    </row>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1D9CA-2E7C-4D67-84A8-BC9182185B4F}">
  <dimension ref="A3:J135"/>
  <sheetViews>
    <sheetView showGridLines="0" zoomScale="73" zoomScaleNormal="56" workbookViewId="0">
      <selection activeCell="E3" sqref="E3"/>
    </sheetView>
  </sheetViews>
  <sheetFormatPr defaultRowHeight="22" customHeight="1" x14ac:dyDescent="0.35"/>
  <cols>
    <col min="1" max="1" width="32.54296875" customWidth="1"/>
    <col min="2" max="2" width="12.54296875" customWidth="1"/>
    <col min="3" max="3" width="17.6328125" customWidth="1"/>
    <col min="4" max="4" width="32.7265625" customWidth="1"/>
    <col min="6" max="6" width="24.36328125" customWidth="1"/>
    <col min="7" max="7" width="25.36328125" customWidth="1"/>
    <col min="9" max="9" width="25.08984375" customWidth="1"/>
    <col min="10" max="10" width="31.7265625" customWidth="1"/>
    <col min="12" max="12" width="19.7265625" customWidth="1"/>
    <col min="13" max="13" width="16" customWidth="1"/>
    <col min="14" max="14" width="22.54296875" customWidth="1"/>
    <col min="15" max="15" width="33.6328125" customWidth="1"/>
  </cols>
  <sheetData>
    <row r="3" spans="1:10" ht="22" customHeight="1" x14ac:dyDescent="0.35">
      <c r="A3" t="s">
        <v>28</v>
      </c>
      <c r="C3" t="s">
        <v>5</v>
      </c>
      <c r="F3" t="s">
        <v>6</v>
      </c>
      <c r="I3" t="s">
        <v>8</v>
      </c>
    </row>
    <row r="4" spans="1:10" ht="22" customHeight="1" x14ac:dyDescent="0.35">
      <c r="A4" s="10" t="s">
        <v>0</v>
      </c>
      <c r="C4" s="14" t="s">
        <v>3</v>
      </c>
      <c r="D4" s="10" t="s">
        <v>0</v>
      </c>
      <c r="F4" s="14" t="s">
        <v>3</v>
      </c>
      <c r="G4" s="10" t="s">
        <v>1</v>
      </c>
      <c r="I4" s="14" t="s">
        <v>3</v>
      </c>
      <c r="J4" s="10" t="s">
        <v>2</v>
      </c>
    </row>
    <row r="5" spans="1:10" ht="22" customHeight="1" x14ac:dyDescent="0.35">
      <c r="A5" s="10">
        <v>513</v>
      </c>
      <c r="C5" s="25">
        <v>45292</v>
      </c>
      <c r="D5">
        <v>19</v>
      </c>
      <c r="F5" s="25">
        <v>45292</v>
      </c>
      <c r="G5" s="4">
        <v>37.789473684210527</v>
      </c>
      <c r="I5" s="25">
        <v>45292</v>
      </c>
      <c r="J5" s="4">
        <v>6.666666666666667</v>
      </c>
    </row>
    <row r="6" spans="1:10" ht="22" customHeight="1" x14ac:dyDescent="0.35">
      <c r="C6" s="25">
        <v>45293</v>
      </c>
      <c r="D6">
        <v>14</v>
      </c>
      <c r="F6" s="25">
        <v>45293</v>
      </c>
      <c r="G6" s="4">
        <v>38.214285714285715</v>
      </c>
      <c r="I6" s="25">
        <v>45293</v>
      </c>
      <c r="J6" s="4">
        <v>3.5</v>
      </c>
    </row>
    <row r="7" spans="1:10" ht="22" customHeight="1" x14ac:dyDescent="0.35">
      <c r="A7" t="s">
        <v>26</v>
      </c>
      <c r="C7" s="25">
        <v>45294</v>
      </c>
      <c r="D7">
        <v>13</v>
      </c>
      <c r="F7" s="25">
        <v>45294</v>
      </c>
      <c r="G7" s="4">
        <v>40.92307692307692</v>
      </c>
      <c r="I7" s="25">
        <v>45294</v>
      </c>
      <c r="J7" s="4">
        <v>4.5</v>
      </c>
    </row>
    <row r="8" spans="1:10" ht="22" customHeight="1" x14ac:dyDescent="0.35">
      <c r="A8" s="10" t="s">
        <v>7</v>
      </c>
      <c r="C8" s="25">
        <v>45295</v>
      </c>
      <c r="D8">
        <v>22</v>
      </c>
      <c r="F8" s="25">
        <v>45295</v>
      </c>
      <c r="G8" s="4">
        <v>34.5</v>
      </c>
      <c r="I8" s="25">
        <v>45295</v>
      </c>
      <c r="J8" s="4">
        <v>4.8</v>
      </c>
    </row>
    <row r="9" spans="1:10" ht="22" customHeight="1" x14ac:dyDescent="0.35">
      <c r="A9" s="9">
        <v>36.323586744639378</v>
      </c>
      <c r="C9" s="25">
        <v>45296</v>
      </c>
      <c r="D9">
        <v>19</v>
      </c>
      <c r="F9" s="25">
        <v>45296</v>
      </c>
      <c r="G9" s="4">
        <v>30.684210526315791</v>
      </c>
      <c r="I9" s="25">
        <v>45296</v>
      </c>
      <c r="J9" s="4">
        <v>7.75</v>
      </c>
    </row>
    <row r="10" spans="1:10" ht="22" customHeight="1" x14ac:dyDescent="0.35">
      <c r="C10" s="25">
        <v>45297</v>
      </c>
      <c r="D10">
        <v>15</v>
      </c>
      <c r="F10" s="25">
        <v>45297</v>
      </c>
      <c r="G10" s="4">
        <v>37.666666666666664</v>
      </c>
      <c r="I10" s="25">
        <v>45297</v>
      </c>
      <c r="J10" s="4">
        <v>6.2</v>
      </c>
    </row>
    <row r="11" spans="1:10" ht="22" customHeight="1" x14ac:dyDescent="0.35">
      <c r="A11" t="s">
        <v>27</v>
      </c>
      <c r="C11" s="25">
        <v>45298</v>
      </c>
      <c r="D11">
        <v>12</v>
      </c>
      <c r="F11" s="25">
        <v>45298</v>
      </c>
      <c r="G11" s="4">
        <v>36.083333333333336</v>
      </c>
      <c r="I11" s="25">
        <v>45298</v>
      </c>
      <c r="J11" s="4">
        <v>3.75</v>
      </c>
    </row>
    <row r="12" spans="1:10" ht="22" customHeight="1" x14ac:dyDescent="0.35">
      <c r="A12" s="10" t="s">
        <v>2</v>
      </c>
      <c r="C12" s="25">
        <v>45299</v>
      </c>
      <c r="D12">
        <v>21</v>
      </c>
      <c r="F12" s="25">
        <v>45299</v>
      </c>
      <c r="G12" s="4">
        <v>43.523809523809526</v>
      </c>
      <c r="I12" s="25">
        <v>45299</v>
      </c>
      <c r="J12" s="4">
        <v>6.5</v>
      </c>
    </row>
    <row r="13" spans="1:10" ht="22" customHeight="1" x14ac:dyDescent="0.35">
      <c r="A13" s="9">
        <v>4.9591836734693882</v>
      </c>
      <c r="C13" s="25">
        <v>45300</v>
      </c>
      <c r="D13">
        <v>12</v>
      </c>
      <c r="F13" s="25">
        <v>45300</v>
      </c>
      <c r="G13" s="4">
        <v>29.5</v>
      </c>
      <c r="I13" s="25">
        <v>45300</v>
      </c>
      <c r="J13" s="4">
        <v>3</v>
      </c>
    </row>
    <row r="14" spans="1:10" ht="22" customHeight="1" x14ac:dyDescent="0.35">
      <c r="C14" s="25">
        <v>45301</v>
      </c>
      <c r="D14">
        <v>13</v>
      </c>
      <c r="F14" s="25">
        <v>45301</v>
      </c>
      <c r="G14" s="4">
        <v>38.07692307692308</v>
      </c>
      <c r="I14" s="25">
        <v>45301</v>
      </c>
      <c r="J14" s="4">
        <v>4.5</v>
      </c>
    </row>
    <row r="15" spans="1:10" ht="22" customHeight="1" x14ac:dyDescent="0.35">
      <c r="C15" s="25">
        <v>45302</v>
      </c>
      <c r="D15">
        <v>13</v>
      </c>
      <c r="F15" s="25">
        <v>45302</v>
      </c>
      <c r="G15" s="4">
        <v>35.846153846153847</v>
      </c>
      <c r="I15" s="25">
        <v>45302</v>
      </c>
      <c r="J15" s="4">
        <v>6</v>
      </c>
    </row>
    <row r="16" spans="1:10" ht="22" customHeight="1" x14ac:dyDescent="0.35">
      <c r="C16" s="25">
        <v>45303</v>
      </c>
      <c r="D16">
        <v>16</v>
      </c>
      <c r="F16" s="25">
        <v>45303</v>
      </c>
      <c r="G16" s="4">
        <v>32.625</v>
      </c>
      <c r="I16" s="25">
        <v>45303</v>
      </c>
      <c r="J16" s="4">
        <v>5.2</v>
      </c>
    </row>
    <row r="17" spans="3:10" ht="22" customHeight="1" x14ac:dyDescent="0.35">
      <c r="C17" s="25">
        <v>45304</v>
      </c>
      <c r="D17">
        <v>20</v>
      </c>
      <c r="F17" s="25">
        <v>45304</v>
      </c>
      <c r="G17" s="4">
        <v>39.200000000000003</v>
      </c>
      <c r="I17" s="25">
        <v>45304</v>
      </c>
      <c r="J17" s="4">
        <v>4.4000000000000004</v>
      </c>
    </row>
    <row r="18" spans="3:10" ht="22" customHeight="1" x14ac:dyDescent="0.35">
      <c r="C18" s="25">
        <v>45305</v>
      </c>
      <c r="D18">
        <v>25</v>
      </c>
      <c r="F18" s="25">
        <v>45305</v>
      </c>
      <c r="G18" s="4">
        <v>35.28</v>
      </c>
      <c r="I18" s="25">
        <v>45305</v>
      </c>
      <c r="J18" s="4">
        <v>3.4545454545454546</v>
      </c>
    </row>
    <row r="19" spans="3:10" ht="22" customHeight="1" x14ac:dyDescent="0.35">
      <c r="C19" s="25">
        <v>45306</v>
      </c>
      <c r="D19">
        <v>20</v>
      </c>
      <c r="F19" s="25">
        <v>45306</v>
      </c>
      <c r="G19" s="4">
        <v>32.549999999999997</v>
      </c>
      <c r="I19" s="25">
        <v>45306</v>
      </c>
      <c r="J19" s="4">
        <v>4.4000000000000004</v>
      </c>
    </row>
    <row r="20" spans="3:10" ht="22" customHeight="1" x14ac:dyDescent="0.35">
      <c r="C20" s="25">
        <v>45307</v>
      </c>
      <c r="D20">
        <v>14</v>
      </c>
      <c r="F20" s="25">
        <v>45307</v>
      </c>
      <c r="G20" s="4">
        <v>35.642857142857146</v>
      </c>
      <c r="I20" s="25">
        <v>45307</v>
      </c>
      <c r="J20" s="4">
        <v>5.833333333333333</v>
      </c>
    </row>
    <row r="21" spans="3:10" ht="22" customHeight="1" x14ac:dyDescent="0.35">
      <c r="C21" s="25">
        <v>45308</v>
      </c>
      <c r="D21">
        <v>17</v>
      </c>
      <c r="F21" s="25">
        <v>45308</v>
      </c>
      <c r="G21" s="4">
        <v>38.764705882352942</v>
      </c>
      <c r="I21" s="25">
        <v>45308</v>
      </c>
      <c r="J21" s="4">
        <v>4.4444444444444446</v>
      </c>
    </row>
    <row r="22" spans="3:10" ht="22" customHeight="1" x14ac:dyDescent="0.35">
      <c r="C22" s="25">
        <v>45309</v>
      </c>
      <c r="D22">
        <v>20</v>
      </c>
      <c r="F22" s="25">
        <v>45309</v>
      </c>
      <c r="G22" s="4">
        <v>39.9</v>
      </c>
      <c r="I22" s="25">
        <v>45309</v>
      </c>
      <c r="J22" s="4">
        <v>5.333333333333333</v>
      </c>
    </row>
    <row r="23" spans="3:10" ht="22" customHeight="1" x14ac:dyDescent="0.35">
      <c r="C23" s="25">
        <v>45310</v>
      </c>
      <c r="D23">
        <v>10</v>
      </c>
      <c r="F23" s="25">
        <v>45310</v>
      </c>
      <c r="G23" s="4">
        <v>41.6</v>
      </c>
      <c r="I23" s="25">
        <v>45310</v>
      </c>
      <c r="J23" s="4">
        <v>5.333333333333333</v>
      </c>
    </row>
    <row r="24" spans="3:10" ht="22" customHeight="1" x14ac:dyDescent="0.35">
      <c r="C24" s="25">
        <v>45311</v>
      </c>
      <c r="D24">
        <v>17</v>
      </c>
      <c r="F24" s="25">
        <v>45311</v>
      </c>
      <c r="G24" s="4">
        <v>39.470588235294116</v>
      </c>
      <c r="I24" s="25">
        <v>45311</v>
      </c>
      <c r="J24" s="4">
        <v>5.5714285714285712</v>
      </c>
    </row>
    <row r="25" spans="3:10" ht="22" customHeight="1" x14ac:dyDescent="0.35">
      <c r="C25" s="25">
        <v>45312</v>
      </c>
      <c r="D25">
        <v>15</v>
      </c>
      <c r="F25" s="25">
        <v>45312</v>
      </c>
      <c r="G25" s="4">
        <v>27.733333333333334</v>
      </c>
      <c r="I25" s="25">
        <v>45312</v>
      </c>
      <c r="J25" s="4">
        <v>5</v>
      </c>
    </row>
    <row r="26" spans="3:10" ht="22" customHeight="1" x14ac:dyDescent="0.35">
      <c r="C26" s="25">
        <v>45313</v>
      </c>
      <c r="D26">
        <v>16</v>
      </c>
      <c r="F26" s="25">
        <v>45313</v>
      </c>
      <c r="G26" s="4">
        <v>36.875</v>
      </c>
      <c r="I26" s="25">
        <v>45313</v>
      </c>
      <c r="J26" s="4">
        <v>6.4</v>
      </c>
    </row>
    <row r="27" spans="3:10" ht="22" customHeight="1" x14ac:dyDescent="0.35">
      <c r="C27" s="25">
        <v>45314</v>
      </c>
      <c r="D27">
        <v>18</v>
      </c>
      <c r="F27" s="25">
        <v>45314</v>
      </c>
      <c r="G27" s="4">
        <v>40.333333333333336</v>
      </c>
      <c r="I27" s="25">
        <v>45314</v>
      </c>
      <c r="J27" s="4">
        <v>5.333333333333333</v>
      </c>
    </row>
    <row r="28" spans="3:10" ht="22" customHeight="1" x14ac:dyDescent="0.35">
      <c r="C28" s="25">
        <v>45315</v>
      </c>
      <c r="D28">
        <v>16</v>
      </c>
      <c r="F28" s="25">
        <v>45315</v>
      </c>
      <c r="G28" s="4">
        <v>36.5</v>
      </c>
      <c r="I28" s="25">
        <v>45315</v>
      </c>
      <c r="J28" s="4">
        <v>3.75</v>
      </c>
    </row>
    <row r="29" spans="3:10" ht="22" customHeight="1" x14ac:dyDescent="0.35">
      <c r="C29" s="25">
        <v>45316</v>
      </c>
      <c r="D29">
        <v>15</v>
      </c>
      <c r="F29" s="25">
        <v>45316</v>
      </c>
      <c r="G29" s="4">
        <v>32.866666666666667</v>
      </c>
      <c r="I29" s="25">
        <v>45316</v>
      </c>
      <c r="J29" s="4">
        <v>6.333333333333333</v>
      </c>
    </row>
    <row r="30" spans="3:10" ht="22" customHeight="1" x14ac:dyDescent="0.35">
      <c r="C30" s="25">
        <v>45317</v>
      </c>
      <c r="D30">
        <v>14</v>
      </c>
      <c r="F30" s="25">
        <v>45317</v>
      </c>
      <c r="G30" s="4">
        <v>36.642857142857146</v>
      </c>
      <c r="I30" s="25">
        <v>45317</v>
      </c>
      <c r="J30" s="4">
        <v>10</v>
      </c>
    </row>
    <row r="31" spans="3:10" ht="22" customHeight="1" x14ac:dyDescent="0.35">
      <c r="C31" s="25">
        <v>45318</v>
      </c>
      <c r="D31">
        <v>16</v>
      </c>
      <c r="F31" s="25">
        <v>45318</v>
      </c>
      <c r="G31" s="4">
        <v>36.5625</v>
      </c>
      <c r="I31" s="25">
        <v>45318</v>
      </c>
      <c r="J31" s="4">
        <v>5</v>
      </c>
    </row>
    <row r="32" spans="3:10" ht="22" customHeight="1" x14ac:dyDescent="0.35">
      <c r="C32" s="25">
        <v>45319</v>
      </c>
      <c r="D32">
        <v>20</v>
      </c>
      <c r="F32" s="25">
        <v>45319</v>
      </c>
      <c r="G32" s="4">
        <v>32.15</v>
      </c>
      <c r="I32" s="25">
        <v>45319</v>
      </c>
      <c r="J32" s="4">
        <v>5.333333333333333</v>
      </c>
    </row>
    <row r="33" spans="1:10" ht="22" customHeight="1" x14ac:dyDescent="0.35">
      <c r="C33" s="25">
        <v>45320</v>
      </c>
      <c r="D33">
        <v>19</v>
      </c>
      <c r="F33" s="25">
        <v>45320</v>
      </c>
      <c r="G33" s="4">
        <v>38.368421052631582</v>
      </c>
      <c r="I33" s="25">
        <v>45320</v>
      </c>
      <c r="J33" s="4">
        <v>4.8</v>
      </c>
    </row>
    <row r="34" spans="1:10" ht="22" customHeight="1" x14ac:dyDescent="0.35">
      <c r="C34" s="25">
        <v>45321</v>
      </c>
      <c r="D34">
        <v>14</v>
      </c>
      <c r="F34" s="25">
        <v>45321</v>
      </c>
      <c r="G34" s="4">
        <v>33.071428571428569</v>
      </c>
      <c r="I34" s="25">
        <v>45321</v>
      </c>
      <c r="J34" s="4">
        <v>5</v>
      </c>
    </row>
    <row r="35" spans="1:10" ht="22" customHeight="1" x14ac:dyDescent="0.35">
      <c r="C35" s="25">
        <v>45322</v>
      </c>
      <c r="D35">
        <v>18</v>
      </c>
      <c r="F35" s="25">
        <v>45322</v>
      </c>
      <c r="G35" s="4">
        <v>36.444444444444443</v>
      </c>
      <c r="I35" s="25">
        <v>45322</v>
      </c>
      <c r="J35" s="4">
        <v>1.4</v>
      </c>
    </row>
    <row r="36" spans="1:10" ht="22" customHeight="1" x14ac:dyDescent="0.35">
      <c r="C36" s="13" t="s">
        <v>4</v>
      </c>
      <c r="D36" s="10">
        <v>513</v>
      </c>
      <c r="F36" s="13" t="s">
        <v>4</v>
      </c>
      <c r="G36" s="10">
        <v>36.323586744639378</v>
      </c>
      <c r="I36" s="13" t="s">
        <v>4</v>
      </c>
      <c r="J36" s="10">
        <v>4.9591836734693882</v>
      </c>
    </row>
    <row r="43" spans="1:10" ht="22" customHeight="1" x14ac:dyDescent="0.35">
      <c r="A43" s="5"/>
      <c r="B43" s="4"/>
    </row>
    <row r="45" spans="1:10" ht="22" customHeight="1" x14ac:dyDescent="0.35">
      <c r="A45" s="6"/>
      <c r="B45" s="6"/>
    </row>
    <row r="46" spans="1:10" ht="22" customHeight="1" x14ac:dyDescent="0.35">
      <c r="A46" s="7"/>
      <c r="B46" s="8"/>
    </row>
    <row r="47" spans="1:10" ht="22" customHeight="1" x14ac:dyDescent="0.35">
      <c r="A47" s="7"/>
      <c r="B47" s="7"/>
    </row>
    <row r="84" spans="1:9" ht="22" customHeight="1" x14ac:dyDescent="0.35">
      <c r="A84" t="s">
        <v>29</v>
      </c>
    </row>
    <row r="85" spans="1:9" ht="22" customHeight="1" x14ac:dyDescent="0.35">
      <c r="A85" s="24" t="s">
        <v>3</v>
      </c>
      <c r="B85" t="s">
        <v>9</v>
      </c>
      <c r="C85" t="s">
        <v>12</v>
      </c>
    </row>
    <row r="86" spans="1:9" ht="22" customHeight="1" x14ac:dyDescent="0.35">
      <c r="A86" s="5" t="s">
        <v>10</v>
      </c>
      <c r="B86" s="26">
        <v>269</v>
      </c>
      <c r="C86" s="27">
        <v>0.52436647173489281</v>
      </c>
    </row>
    <row r="87" spans="1:9" ht="22" customHeight="1" x14ac:dyDescent="0.35">
      <c r="A87" s="5" t="s">
        <v>11</v>
      </c>
      <c r="B87" s="26">
        <v>244</v>
      </c>
      <c r="C87" s="27">
        <v>0.47563352826510719</v>
      </c>
    </row>
    <row r="88" spans="1:9" ht="22" customHeight="1" x14ac:dyDescent="0.35">
      <c r="A88" s="11" t="s">
        <v>4</v>
      </c>
      <c r="B88" s="9">
        <v>513</v>
      </c>
      <c r="C88" s="12">
        <v>1</v>
      </c>
    </row>
    <row r="89" spans="1:9" ht="22" customHeight="1" x14ac:dyDescent="0.35">
      <c r="F89" s="15"/>
      <c r="G89" s="15"/>
      <c r="H89" s="15"/>
      <c r="I89" s="15"/>
    </row>
    <row r="90" spans="1:9" ht="22" customHeight="1" x14ac:dyDescent="0.35">
      <c r="A90" s="5" t="s">
        <v>30</v>
      </c>
    </row>
    <row r="91" spans="1:9" s="17" customFormat="1" ht="24.5" customHeight="1" x14ac:dyDescent="0.35">
      <c r="A91" s="16" t="s">
        <v>13</v>
      </c>
      <c r="B91" s="16" t="s">
        <v>15</v>
      </c>
      <c r="C91" s="16" t="s">
        <v>14</v>
      </c>
      <c r="D91" s="16"/>
    </row>
    <row r="92" spans="1:9" s="21" customFormat="1" ht="20" customHeight="1" x14ac:dyDescent="0.35">
      <c r="A92" s="18" t="str">
        <f>A87</f>
        <v>Not Admitted</v>
      </c>
      <c r="B92" s="18">
        <f t="shared" ref="B92:C92" si="0">B87</f>
        <v>244</v>
      </c>
      <c r="C92" s="19">
        <f t="shared" si="0"/>
        <v>0.47563352826510719</v>
      </c>
      <c r="D92" s="20"/>
      <c r="F92" s="22"/>
      <c r="G92" s="22"/>
      <c r="H92" s="22"/>
      <c r="I92" s="22"/>
    </row>
    <row r="93" spans="1:9" s="22" customFormat="1" ht="22" customHeight="1" x14ac:dyDescent="0.35">
      <c r="A93" s="18" t="str">
        <f>A86</f>
        <v>Admitted</v>
      </c>
      <c r="B93" s="18">
        <f t="shared" ref="B93:C93" si="1">B86</f>
        <v>269</v>
      </c>
      <c r="C93" s="19">
        <f t="shared" si="1"/>
        <v>0.52436647173489281</v>
      </c>
      <c r="D93" s="18"/>
    </row>
    <row r="96" spans="1:9" ht="22" customHeight="1" x14ac:dyDescent="0.35">
      <c r="A96" t="s">
        <v>25</v>
      </c>
    </row>
    <row r="97" spans="1:2" ht="22" customHeight="1" x14ac:dyDescent="0.35">
      <c r="A97" s="24" t="s">
        <v>3</v>
      </c>
      <c r="B97" s="10" t="s">
        <v>24</v>
      </c>
    </row>
    <row r="98" spans="1:2" ht="22" customHeight="1" x14ac:dyDescent="0.35">
      <c r="A98" s="5" t="s">
        <v>16</v>
      </c>
      <c r="B98" s="26">
        <v>76</v>
      </c>
    </row>
    <row r="99" spans="1:2" ht="22" customHeight="1" x14ac:dyDescent="0.35">
      <c r="A99" s="5" t="s">
        <v>17</v>
      </c>
      <c r="B99" s="26">
        <v>69</v>
      </c>
    </row>
    <row r="100" spans="1:2" ht="22" customHeight="1" x14ac:dyDescent="0.35">
      <c r="A100" s="5" t="s">
        <v>18</v>
      </c>
      <c r="B100" s="26">
        <v>64</v>
      </c>
    </row>
    <row r="101" spans="1:2" ht="22" customHeight="1" x14ac:dyDescent="0.35">
      <c r="A101" s="5" t="s">
        <v>19</v>
      </c>
      <c r="B101" s="26">
        <v>59</v>
      </c>
    </row>
    <row r="102" spans="1:2" ht="22" customHeight="1" x14ac:dyDescent="0.35">
      <c r="A102" s="5" t="s">
        <v>20</v>
      </c>
      <c r="B102" s="26">
        <v>58</v>
      </c>
    </row>
    <row r="103" spans="1:2" ht="22" customHeight="1" x14ac:dyDescent="0.35">
      <c r="A103" s="5" t="s">
        <v>21</v>
      </c>
      <c r="B103" s="26">
        <v>66</v>
      </c>
    </row>
    <row r="104" spans="1:2" ht="22" customHeight="1" x14ac:dyDescent="0.35">
      <c r="A104" s="5" t="s">
        <v>22</v>
      </c>
      <c r="B104" s="26">
        <v>67</v>
      </c>
    </row>
    <row r="105" spans="1:2" ht="22" customHeight="1" x14ac:dyDescent="0.35">
      <c r="A105" s="5" t="s">
        <v>23</v>
      </c>
      <c r="B105" s="26">
        <v>54</v>
      </c>
    </row>
    <row r="106" spans="1:2" ht="22" customHeight="1" x14ac:dyDescent="0.35">
      <c r="A106" s="11" t="s">
        <v>4</v>
      </c>
      <c r="B106" s="9">
        <v>513</v>
      </c>
    </row>
    <row r="108" spans="1:2" ht="22" customHeight="1" x14ac:dyDescent="0.35">
      <c r="A108" s="5" t="s">
        <v>34</v>
      </c>
    </row>
    <row r="109" spans="1:2" ht="22" customHeight="1" x14ac:dyDescent="0.35">
      <c r="A109" s="24" t="s">
        <v>3</v>
      </c>
      <c r="B109" s="10" t="s">
        <v>31</v>
      </c>
    </row>
    <row r="110" spans="1:2" ht="22" customHeight="1" x14ac:dyDescent="0.35">
      <c r="A110" s="5" t="s">
        <v>32</v>
      </c>
      <c r="B110" s="4">
        <v>316</v>
      </c>
    </row>
    <row r="111" spans="1:2" ht="22" customHeight="1" x14ac:dyDescent="0.35">
      <c r="A111" s="5" t="s">
        <v>33</v>
      </c>
      <c r="B111" s="4">
        <v>197</v>
      </c>
    </row>
    <row r="112" spans="1:2" ht="22" customHeight="1" x14ac:dyDescent="0.35">
      <c r="A112" s="11" t="s">
        <v>4</v>
      </c>
      <c r="B112" s="9">
        <v>513</v>
      </c>
    </row>
    <row r="114" spans="1:2" ht="22" customHeight="1" x14ac:dyDescent="0.35">
      <c r="A114" s="5" t="s">
        <v>38</v>
      </c>
    </row>
    <row r="115" spans="1:2" ht="22" customHeight="1" x14ac:dyDescent="0.35">
      <c r="A115" s="24" t="s">
        <v>3</v>
      </c>
      <c r="B115" s="10" t="s">
        <v>37</v>
      </c>
    </row>
    <row r="116" spans="1:2" ht="22" customHeight="1" x14ac:dyDescent="0.35">
      <c r="A116" s="5" t="s">
        <v>35</v>
      </c>
      <c r="B116" s="4">
        <v>241</v>
      </c>
    </row>
    <row r="117" spans="1:2" ht="22" customHeight="1" x14ac:dyDescent="0.35">
      <c r="A117" s="5" t="s">
        <v>36</v>
      </c>
      <c r="B117" s="4">
        <v>272</v>
      </c>
    </row>
    <row r="118" spans="1:2" ht="22" customHeight="1" x14ac:dyDescent="0.35">
      <c r="A118" s="11" t="s">
        <v>4</v>
      </c>
      <c r="B118" s="9">
        <v>513</v>
      </c>
    </row>
    <row r="120" spans="1:2" ht="22" customHeight="1" x14ac:dyDescent="0.35">
      <c r="A120" s="5" t="s">
        <v>47</v>
      </c>
    </row>
    <row r="121" spans="1:2" ht="22" customHeight="1" x14ac:dyDescent="0.35">
      <c r="A121" s="24" t="s">
        <v>3</v>
      </c>
      <c r="B121" s="10" t="s">
        <v>37</v>
      </c>
    </row>
    <row r="122" spans="1:2" ht="22" customHeight="1" x14ac:dyDescent="0.35">
      <c r="A122" s="5" t="s">
        <v>40</v>
      </c>
      <c r="B122" s="26">
        <v>4</v>
      </c>
    </row>
    <row r="123" spans="1:2" ht="22" customHeight="1" x14ac:dyDescent="0.35">
      <c r="A123" s="5" t="s">
        <v>46</v>
      </c>
      <c r="B123" s="26">
        <v>5</v>
      </c>
    </row>
    <row r="124" spans="1:2" ht="22" customHeight="1" x14ac:dyDescent="0.35">
      <c r="A124" s="5" t="s">
        <v>42</v>
      </c>
      <c r="B124" s="26">
        <v>9</v>
      </c>
    </row>
    <row r="125" spans="1:2" ht="22" customHeight="1" x14ac:dyDescent="0.35">
      <c r="A125" s="5" t="s">
        <v>45</v>
      </c>
      <c r="B125" s="26">
        <v>14</v>
      </c>
    </row>
    <row r="126" spans="1:2" ht="22" customHeight="1" x14ac:dyDescent="0.35">
      <c r="A126" s="5" t="s">
        <v>39</v>
      </c>
      <c r="B126" s="26">
        <v>14</v>
      </c>
    </row>
    <row r="127" spans="1:2" ht="22" customHeight="1" x14ac:dyDescent="0.35">
      <c r="A127" s="5" t="s">
        <v>44</v>
      </c>
      <c r="B127" s="26">
        <v>65</v>
      </c>
    </row>
    <row r="128" spans="1:2" ht="22" customHeight="1" x14ac:dyDescent="0.35">
      <c r="A128" s="5" t="s">
        <v>41</v>
      </c>
      <c r="B128" s="26">
        <v>103</v>
      </c>
    </row>
    <row r="129" spans="1:2" ht="22" customHeight="1" x14ac:dyDescent="0.35">
      <c r="A129" s="5" t="s">
        <v>43</v>
      </c>
      <c r="B129" s="26">
        <v>299</v>
      </c>
    </row>
    <row r="130" spans="1:2" ht="22" customHeight="1" x14ac:dyDescent="0.35">
      <c r="A130" s="11" t="s">
        <v>4</v>
      </c>
      <c r="B130" s="9">
        <v>513</v>
      </c>
    </row>
    <row r="132" spans="1:2" ht="22" customHeight="1" x14ac:dyDescent="0.35">
      <c r="A132" s="5" t="s">
        <v>48</v>
      </c>
    </row>
    <row r="133" spans="1:2" ht="22" customHeight="1" x14ac:dyDescent="0.35">
      <c r="A133" s="24" t="s">
        <v>3</v>
      </c>
    </row>
    <row r="134" spans="1:2" ht="22" customHeight="1" x14ac:dyDescent="0.35">
      <c r="A134" s="5" t="s">
        <v>49</v>
      </c>
    </row>
    <row r="135" spans="1:2" ht="22" customHeight="1" x14ac:dyDescent="0.35">
      <c r="A135" s="11" t="s">
        <v>4</v>
      </c>
    </row>
  </sheetData>
  <pageMargins left="0.7" right="0.7" top="0.75" bottom="0.75" header="0.3" footer="0.3"/>
  <pageSetup orientation="portrait" r:id="rId13"/>
  <drawing r:id="rId1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Props1.xml><?xml version="1.0" encoding="utf-8"?>
<ds:datastoreItem xmlns:ds="http://schemas.openxmlformats.org/officeDocument/2006/customXml" ds:itemID="{D46507E3-B995-4CBA-A18C-43D4333F46D8}">
  <ds:schemaRefs/>
</ds:datastoreItem>
</file>

<file path=customXml/itemProps2.xml><?xml version="1.0" encoding="utf-8"?>
<ds:datastoreItem xmlns:ds="http://schemas.openxmlformats.org/officeDocument/2006/customXml" ds:itemID="{F8A423C2-FD0C-4D74-A0AA-DE9D60809CCA}">
  <ds:schemaRefs/>
</ds:datastoreItem>
</file>

<file path=customXml/itemProps3.xml><?xml version="1.0" encoding="utf-8"?>
<ds:datastoreItem xmlns:ds="http://schemas.openxmlformats.org/officeDocument/2006/customXml" ds:itemID="{683E3A6C-98E2-4549-A20F-6875D1F8830B}">
  <ds:schemaRefs/>
</ds:datastoreItem>
</file>

<file path=customXml/itemProps4.xml><?xml version="1.0" encoding="utf-8"?>
<ds:datastoreItem xmlns:ds="http://schemas.openxmlformats.org/officeDocument/2006/customXml" ds:itemID="{9482ECE8-4280-4BDE-B63F-FA89C63DAF1F}">
  <ds:schemaRefs/>
</ds:datastoreItem>
</file>

<file path=customXml/itemProps5.xml><?xml version="1.0" encoding="utf-8"?>
<ds:datastoreItem xmlns:ds="http://schemas.openxmlformats.org/officeDocument/2006/customXml" ds:itemID="{055ECF3C-0C36-415C-8DFF-FC6AD1BEE4D9}">
  <ds:schemaRefs/>
</ds:datastoreItem>
</file>

<file path=customXml/itemProps6.xml><?xml version="1.0" encoding="utf-8"?>
<ds:datastoreItem xmlns:ds="http://schemas.openxmlformats.org/officeDocument/2006/customXml" ds:itemID="{B6654107-849A-4898-8B30-2057DDCE5672}">
  <ds:schemaRefs/>
</ds:datastoreItem>
</file>

<file path=customXml/itemProps7.xml><?xml version="1.0" encoding="utf-8"?>
<ds:datastoreItem xmlns:ds="http://schemas.openxmlformats.org/officeDocument/2006/customXml" ds:itemID="{43CEA3CB-174F-4688-87EA-E8F13A8283D7}">
  <ds:schemaRefs/>
</ds:datastoreItem>
</file>

<file path=customXml/itemProps8.xml><?xml version="1.0" encoding="utf-8"?>
<ds:datastoreItem xmlns:ds="http://schemas.openxmlformats.org/officeDocument/2006/customXml" ds:itemID="{2E861CF2-FC17-4B07-AE5F-B5875C856208}">
  <ds:schemaRefs/>
</ds:datastoreItem>
</file>

<file path=customXml/itemProps9.xml><?xml version="1.0" encoding="utf-8"?>
<ds:datastoreItem xmlns:ds="http://schemas.openxmlformats.org/officeDocument/2006/customXml" ds:itemID="{1D2852E5-F4FB-4F40-A7CE-F5FA6F2E95FA}">
  <ds:schemaRefs/>
</ds:datastoreItem>
</file>

<file path=customXml/itemProps10.xml><?xml version="1.0" encoding="utf-8"?>
<ds:datastoreItem xmlns:ds="http://schemas.openxmlformats.org/officeDocument/2006/customXml" ds:itemID="{4E6A1E42-D96E-40C7-8B08-8C0BD97791E2}">
  <ds:schemaRefs/>
</ds:datastoreItem>
</file>

<file path=customXml/itemProps11.xml><?xml version="1.0" encoding="utf-8"?>
<ds:datastoreItem xmlns:ds="http://schemas.openxmlformats.org/officeDocument/2006/customXml" ds:itemID="{40424B86-3470-4F9B-A37E-0B816C5AA061}">
  <ds:schemaRefs/>
</ds:datastoreItem>
</file>

<file path=customXml/itemProps12.xml><?xml version="1.0" encoding="utf-8"?>
<ds:datastoreItem xmlns:ds="http://schemas.openxmlformats.org/officeDocument/2006/customXml" ds:itemID="{575CFD99-8C39-4627-8112-927DB94C6C3B}">
  <ds:schemaRefs/>
</ds:datastoreItem>
</file>

<file path=customXml/itemProps13.xml><?xml version="1.0" encoding="utf-8"?>
<ds:datastoreItem xmlns:ds="http://schemas.openxmlformats.org/officeDocument/2006/customXml" ds:itemID="{D19B0071-086B-46F5-85E9-B2F78125BA5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Daily ER No Of Patients</vt:lpstr>
      <vt:lpstr>Average Wait Time Daily Trend</vt:lpstr>
      <vt:lpstr>Satiscaftion Score Daily Trend</vt:lpstr>
      <vt:lpstr>Pivot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Muneeza Ali</dc:creator>
  <cp:lastModifiedBy>Muneeza Ali</cp:lastModifiedBy>
  <dcterms:created xsi:type="dcterms:W3CDTF">2025-08-22T20:36:41Z</dcterms:created>
  <dcterms:modified xsi:type="dcterms:W3CDTF">2026-01-29T20:06:42Z</dcterms:modified>
</cp:coreProperties>
</file>